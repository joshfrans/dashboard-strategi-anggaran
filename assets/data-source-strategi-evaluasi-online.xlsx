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Panduan" sheetId="1" r:id="rId4"/>
    <sheet state="visible" name="00_Referensi" sheetId="2" r:id="rId5"/>
    <sheet state="visible" name="01_Ratifikasi" sheetId="3" r:id="rId6"/>
    <sheet state="visible" name="02_Change_Request" sheetId="4" r:id="rId7"/>
    <sheet state="visible" name="03_Kinerja" sheetId="5" r:id="rId8"/>
    <sheet state="visible" name="04_Penyusunan_Kebijakan" sheetId="6" r:id="rId9"/>
    <sheet state="visible" name="05_Business_Excellence" sheetId="7" r:id="rId10"/>
    <sheet state="visible" name="09_Ringkasan" sheetId="8" r:id="rId11"/>
  </sheets>
  <definedNames/>
  <calcPr/>
  <extLst>
    <ext uri="GoogleSheetsCustomDataVersion2">
      <go:sheetsCustomData xmlns:go="http://customooxmlschemas.google.com/" r:id="rId12" roundtripDataChecksum="lvKm8QkcXiRTkGllrzdJ0gSRrslwPJck50eLYGeT0oo="/>
    </ext>
  </extLst>
</workbook>
</file>

<file path=xl/sharedStrings.xml><?xml version="1.0" encoding="utf-8"?>
<sst xmlns="http://schemas.openxmlformats.org/spreadsheetml/2006/main" count="1518" uniqueCount="242">
  <si>
    <t>Entitas SH/AP</t>
  </si>
  <si>
    <t>Kategori</t>
  </si>
  <si>
    <t>Kebijakan</t>
  </si>
  <si>
    <t>Status</t>
  </si>
  <si>
    <t>Catatan</t>
  </si>
  <si>
    <t>Last Update</t>
  </si>
  <si>
    <t>PLN IP</t>
  </si>
  <si>
    <t>Kebijakan Strategis Manajemen Aset Properti (Perdir No.0001.KS/DIR/2025)</t>
  </si>
  <si>
    <t>Selesai</t>
  </si>
  <si>
    <t>Aplikasi</t>
  </si>
  <si>
    <t>Diisi dari data ratifikasi dashboard</t>
  </si>
  <si>
    <t>2026-09-02</t>
  </si>
  <si>
    <t>Nilai</t>
  </si>
  <si>
    <t>Change Request</t>
  </si>
  <si>
    <t>Progres</t>
  </si>
  <si>
    <t>Template Data Source - Strategi &amp; Evaluasi</t>
  </si>
  <si>
    <t>Target Selesai</t>
  </si>
  <si>
    <t>Standar Prosedur Pendayagunaan Aset Properti (Perlak No.0004.SPo/DIR/2025)</t>
  </si>
  <si>
    <t>Kebijakan Strategis Pengelolaan Naskah Dinas dan Kearsipan (Perdir No.0017.P/DIR/2023)</t>
  </si>
  <si>
    <t>Status Kinerja</t>
  </si>
  <si>
    <t>ESPPD</t>
  </si>
  <si>
    <t>Standar Prosedur Pengelolaan Naskah Dinas (Perlak No.0016.E/DIR/2024)</t>
  </si>
  <si>
    <t>CR utama E-SPPD</t>
  </si>
  <si>
    <t>On Progress</t>
  </si>
  <si>
    <t>Tercapai</t>
  </si>
  <si>
    <t>Standar Prosedur Kearsipan PT PLN (Persero) (Perlak No.0017.E/DIR/2024)</t>
  </si>
  <si>
    <t>Multi target</t>
  </si>
  <si>
    <t>Hampir Tercapai</t>
  </si>
  <si>
    <t>Jadwal Retensi Arsip PT PLN (Persero) (Kepdir No. 0122.K/DIR/2024)</t>
  </si>
  <si>
    <t>Sumber</t>
  </si>
  <si>
    <t>Sistem Klasifikasi Keamanan dan Akses Arsip Dinamis PT PLN (Persero) (Kepdir No. 0123.K/DIR/2024)</t>
  </si>
  <si>
    <t>Realisasi Bulanan RKM DIV GA 2026.xlsx</t>
  </si>
  <si>
    <t>Perlu Peningkatan</t>
  </si>
  <si>
    <t>ESPPD Manage Service</t>
  </si>
  <si>
    <t>Integrasi manage service</t>
  </si>
  <si>
    <t>Standar Prosedur Perjalanan Dinas Pegawai (Perlak No.0036.E/DIR/2023)</t>
  </si>
  <si>
    <t>30 Jun 2026</t>
  </si>
  <si>
    <t>Standar Prosedur Perjalanan Dinas (Juknis No.0021.I.DIR.2023)</t>
  </si>
  <si>
    <t>Penggunaan</t>
  </si>
  <si>
    <t>Belum Diukur</t>
  </si>
  <si>
    <t>Isi dan update tab 03_Kinerja untuk monitoring kinerja. Indikator disusun vertikal, periode Januari sampai Desember disusun ke kanan.</t>
  </si>
  <si>
    <t>Pelaksanaan Pemberian BFKO dan Bantuan Biaya Transportasi (Juknis No.0017.PTs/DIR/2025)</t>
  </si>
  <si>
    <t>ESPPD Reengineering</t>
  </si>
  <si>
    <t>Re-Eng Tahap I</t>
  </si>
  <si>
    <t>Penetapan Jenis, Pagu, dan Skema Pembayaran Kendaraan serta Besaran Biaya Dalam Rangka Pelaksanaan Pemberian BFKO dan Bantuan Biaya Transportasi (Kepdir No.0118.K/DIR/2025)</t>
  </si>
  <si>
    <t>Periode</t>
  </si>
  <si>
    <t>Januari</t>
  </si>
  <si>
    <t>Nilai realisasi mengikuti workbook RKM per baris. Format melebar ke kanan agar input bulanan tidak memanjang ke bawah.</t>
  </si>
  <si>
    <t>Penetapan Standardisasi fasilitas Kerja (Kepdir No.0132.K/DIR/2024)</t>
  </si>
  <si>
    <t>Februari</t>
  </si>
  <si>
    <t>Juknis No.0003.PTs/DIR/2026 Penyediaan Fasilitas Kendaraan Operasional (KBLBB)</t>
  </si>
  <si>
    <t>ESPPD SHAP</t>
  </si>
  <si>
    <t>Maret</t>
  </si>
  <si>
    <t>Pilot PLN EPI / SHAP</t>
  </si>
  <si>
    <t>Indirect Procurement (Juknis No.0133.I/DIR/2024)</t>
  </si>
  <si>
    <t>Sosialisasi</t>
  </si>
  <si>
    <t>PLN NP</t>
  </si>
  <si>
    <t>April</t>
  </si>
  <si>
    <t>NEW E-COP</t>
  </si>
  <si>
    <t>Tahap I selesai, Tahap II 80%</t>
  </si>
  <si>
    <t>Mei</t>
  </si>
  <si>
    <t>01 Oktober 2026</t>
  </si>
  <si>
    <t>E-COP PLN EPI</t>
  </si>
  <si>
    <t>Juni</t>
  </si>
  <si>
    <t>Migrasi, approval, pemesanan kendaraan</t>
  </si>
  <si>
    <t>To be confirmed</t>
  </si>
  <si>
    <t>Juli</t>
  </si>
  <si>
    <t>NEW E-MEETING PLN Click</t>
  </si>
  <si>
    <t>Integrasi E-Meeting dengan PLN Click</t>
  </si>
  <si>
    <t>23 Mei 2026</t>
  </si>
  <si>
    <t>Agustus</t>
  </si>
  <si>
    <t>E-MEETING Konsumsi Online</t>
  </si>
  <si>
    <t>Role, SIT, UAT, deploy</t>
  </si>
  <si>
    <t>05 Mei 2026</t>
  </si>
  <si>
    <t>September</t>
  </si>
  <si>
    <t>E-TRANSPORT Multitrip</t>
  </si>
  <si>
    <t>Tahap I selesai, Tahap II belum berjalan</t>
  </si>
  <si>
    <t>15 Oktober 2026</t>
  </si>
  <si>
    <t>Oktober</t>
  </si>
  <si>
    <t>PLN ICON+</t>
  </si>
  <si>
    <t>Tidak Ratifikasi</t>
  </si>
  <si>
    <t>November</t>
  </si>
  <si>
    <t>Desember</t>
  </si>
  <si>
    <t>PLN EPI</t>
  </si>
  <si>
    <t>PLN ES</t>
  </si>
  <si>
    <t>PLN ND</t>
  </si>
  <si>
    <t>PLN E</t>
  </si>
  <si>
    <t>PLN Batam</t>
  </si>
  <si>
    <t>PLN MCTN</t>
  </si>
  <si>
    <t>PLN EMI</t>
  </si>
  <si>
    <t>Tahun</t>
  </si>
  <si>
    <t>No</t>
  </si>
  <si>
    <t>Indikator Kerja</t>
  </si>
  <si>
    <t>Satuan</t>
  </si>
  <si>
    <t>Bobot</t>
  </si>
  <si>
    <t>Target 2026</t>
  </si>
  <si>
    <t>Baris RKM</t>
  </si>
  <si>
    <t>Januari Target Bulanan</t>
  </si>
  <si>
    <t>Januari Realisasi</t>
  </si>
  <si>
    <t>Januari Pencapaian</t>
  </si>
  <si>
    <t>Januari Nilai</t>
  </si>
  <si>
    <t>Januari Status</t>
  </si>
  <si>
    <t>Februari Target Bulanan</t>
  </si>
  <si>
    <t>Februari Realisasi</t>
  </si>
  <si>
    <t>Februari Pencapaian</t>
  </si>
  <si>
    <t>Februari Nilai</t>
  </si>
  <si>
    <t>Februari Status</t>
  </si>
  <si>
    <t>Maret Target Bulanan</t>
  </si>
  <si>
    <t>Maret Realisasi</t>
  </si>
  <si>
    <t>Maret Pencapaian</t>
  </si>
  <si>
    <t>Maret Nilai</t>
  </si>
  <si>
    <t>Maret Status</t>
  </si>
  <si>
    <t>April Target Bulanan</t>
  </si>
  <si>
    <t>April Realisasi</t>
  </si>
  <si>
    <t>April Pencapaian</t>
  </si>
  <si>
    <t>April Nilai</t>
  </si>
  <si>
    <t>April Status</t>
  </si>
  <si>
    <t>Mei Target Bulanan</t>
  </si>
  <si>
    <t>Mei Realisasi</t>
  </si>
  <si>
    <t>Mei Pencapaian</t>
  </si>
  <si>
    <t>Mei Nilai</t>
  </si>
  <si>
    <t>Mei Status</t>
  </si>
  <si>
    <t>Juni Target Bulanan</t>
  </si>
  <si>
    <t>Juni Realisasi</t>
  </si>
  <si>
    <t>Juni Pencapaian</t>
  </si>
  <si>
    <t>Juni Nilai</t>
  </si>
  <si>
    <t>Juni Status</t>
  </si>
  <si>
    <t>Juli Target Bulanan</t>
  </si>
  <si>
    <t>Juli Realisasi</t>
  </si>
  <si>
    <t>Juli Pencapaian</t>
  </si>
  <si>
    <t>Juli Nilai</t>
  </si>
  <si>
    <t>Juli Status</t>
  </si>
  <si>
    <t>Agustus Target Bulanan</t>
  </si>
  <si>
    <t>Agustus Realisasi</t>
  </si>
  <si>
    <t>Agustus Pencapaian</t>
  </si>
  <si>
    <t>Agustus Nilai</t>
  </si>
  <si>
    <t>Agustus Status</t>
  </si>
  <si>
    <t>September Target Bulanan</t>
  </si>
  <si>
    <t>September Realisasi</t>
  </si>
  <si>
    <t>September Pencapaian</t>
  </si>
  <si>
    <t>September Nilai</t>
  </si>
  <si>
    <t>September Status</t>
  </si>
  <si>
    <t>Oktober Target Bulanan</t>
  </si>
  <si>
    <t>Oktober Realisasi</t>
  </si>
  <si>
    <t>Oktober Pencapaian</t>
  </si>
  <si>
    <t>Oktober Nilai</t>
  </si>
  <si>
    <t>Oktober Status</t>
  </si>
  <si>
    <t>November Target Bulanan</t>
  </si>
  <si>
    <t>November Realisasi</t>
  </si>
  <si>
    <t>November Pencapaian</t>
  </si>
  <si>
    <t>November Nilai</t>
  </si>
  <si>
    <t>November Status</t>
  </si>
  <si>
    <t>Desember Target Bulanan</t>
  </si>
  <si>
    <t>Desember Realisasi</t>
  </si>
  <si>
    <t>Desember Pencapaian</t>
  </si>
  <si>
    <t>Desember Nilai</t>
  </si>
  <si>
    <t>Desember Status</t>
  </si>
  <si>
    <t xml:space="preserve">Efisiensi Biaya : </t>
  </si>
  <si>
    <t>Bidang</t>
  </si>
  <si>
    <t>Disalin dari indikator utama RKM.</t>
  </si>
  <si>
    <t>Lingkup</t>
  </si>
  <si>
    <t>2026-08-28</t>
  </si>
  <si>
    <t>Target</t>
  </si>
  <si>
    <t>Fasilitas</t>
  </si>
  <si>
    <t>Petunjuk Teknis Fasilitas Komunikasi</t>
  </si>
  <si>
    <t>31 Juli 2026</t>
  </si>
  <si>
    <t>Petunjuk Teknis BFKO</t>
  </si>
  <si>
    <t>ATK</t>
  </si>
  <si>
    <t>Petunjuk Teknis Pengelolaan ATK</t>
  </si>
  <si>
    <t>31 Okt 2026</t>
  </si>
  <si>
    <t>a. Efektifitas Biaya Administrasi Umum</t>
  </si>
  <si>
    <t>Rp Miliar</t>
  </si>
  <si>
    <t>Disalin dari subindikator RKM.</t>
  </si>
  <si>
    <t>b. Pengendalian NAC (Non Allowable Cost)</t>
  </si>
  <si>
    <t>Optimalisasi penggunaan aset tanah dan bangunan</t>
  </si>
  <si>
    <t>Penyediaan Dokumen Pengadaan Barang Jasa Kantor Pusat sampai dengan selesainya draft kontrak (Anggaran Operasi dan Investasi)</t>
  </si>
  <si>
    <t>a. Pengadaan Langsung / Penunjukan Langsung Pasca Kualifikasi</t>
  </si>
  <si>
    <t>%</t>
  </si>
  <si>
    <t>b. Penunjukan Langsung Pra Kualifikasi</t>
  </si>
  <si>
    <t>c. Tender Terbuka (Pascakualifikasi) / Tender Terbatas (DPT/Shortlist)
/ Seleksi Umum (Pascakualifikasi) / Seleksi Terbatas (Pascakualifikasi)</t>
  </si>
  <si>
    <t>Semester</t>
  </si>
  <si>
    <t>Aktivitas</t>
  </si>
  <si>
    <t>Realisasi</t>
  </si>
  <si>
    <t>d. Seleksi Umum (Prakualifikasi) / Seleksi Terbatas (Prakualifikasi) /
Tender Terbuka (Prakualifikasi)</t>
  </si>
  <si>
    <t>Semester 1</t>
  </si>
  <si>
    <t>Penyusunan dan updating dokumen aplikasi</t>
  </si>
  <si>
    <t>Semester 2</t>
  </si>
  <si>
    <t>Pencapaian update dokumen dan asesmen nilai skor PLN Bisnis Ekselen</t>
  </si>
  <si>
    <t>Belum Dinilai</t>
  </si>
  <si>
    <t>Belum Ukur</t>
  </si>
  <si>
    <t>Integrated GA Management System</t>
  </si>
  <si>
    <t>a. Optimalisasi penyerapan anggaran pemeliharaan sarana terkonsolidasi</t>
  </si>
  <si>
    <t>95-100</t>
  </si>
  <si>
    <t>b. Pengembangan Aplikasi Transformasi GA :</t>
  </si>
  <si>
    <t>Waktu</t>
  </si>
  <si>
    <t>31 Desember 2026</t>
  </si>
  <si>
    <t>1. Laporan progres pengembangan aplikasi
2. Laporan progres pengembangan aplikasi</t>
  </si>
  <si>
    <t>1. Laporan progres pengembangan aplikasi
2. BA UAT change request aplikasi E-Meeting</t>
  </si>
  <si>
    <t>1. Laporan progres pengembangan aplikasi
2. BA UAT change request aplikasi perjalanan dinas</t>
  </si>
  <si>
    <t>1. BA Go Live integrasi DSA dengan 1 aplikasi surrounding SSOT
2. BA Deployment change request aplikasi perjalanan dinas</t>
  </si>
  <si>
    <t>Penyusunan Kebijakan General Affair</t>
  </si>
  <si>
    <t>Pengumpulan dokumen dan literatur sebagai bahan FGD Internal penyusunan kebijakan</t>
  </si>
  <si>
    <t xml:space="preserve">FGD Internal penyusunan kebijakan </t>
  </si>
  <si>
    <t xml:space="preserve">Penyusunan Draft Usulan  kebijakan </t>
  </si>
  <si>
    <t>Pembahasan dengan Divisi Terkait</t>
  </si>
  <si>
    <t>Finalisasi draft kebijakan</t>
  </si>
  <si>
    <t>Dokumen kebijakan yang ditandatangani oleh Direksi</t>
  </si>
  <si>
    <t>Proses Sentralisasi Pembayaran</t>
  </si>
  <si>
    <t>Manajemen Kearsipan</t>
  </si>
  <si>
    <t>NA</t>
  </si>
  <si>
    <t>Implementasi smart and green building</t>
  </si>
  <si>
    <t xml:space="preserve">SM 1 : Waktu
SM 2 : Unit </t>
  </si>
  <si>
    <t>Surat  Layanan Manage Service Implementasi Smart and Green Building</t>
  </si>
  <si>
    <t>Penyusunan KAK</t>
  </si>
  <si>
    <t>ND Pengadaan</t>
  </si>
  <si>
    <t>Proses Pengadaan</t>
  </si>
  <si>
    <t>Kontrak KHS</t>
  </si>
  <si>
    <t>Audit Energi</t>
  </si>
  <si>
    <t>Laporan Progres Fisik</t>
  </si>
  <si>
    <t>Usulan Anggaran Investasi Non Infrastruktur Ketenagalistrikan-Sarana Prasarana Umum untuk Tahun 2026</t>
  </si>
  <si>
    <t>Kepatuhan, Maturity Level dan Tata Kelola Perusahaan</t>
  </si>
  <si>
    <t>a. Implementasi Maturity Level</t>
  </si>
  <si>
    <t>Max -2</t>
  </si>
  <si>
    <t>b. Kepatuhan</t>
  </si>
  <si>
    <t>Max -3</t>
  </si>
  <si>
    <t>Indikator</t>
  </si>
  <si>
    <t>Rumus/Nilai</t>
  </si>
  <si>
    <t>Nilai Validasi</t>
  </si>
  <si>
    <t>c. Tata Kelola Perusahaan</t>
  </si>
  <si>
    <t>Max -1</t>
  </si>
  <si>
    <t>Nilai NKO</t>
  </si>
  <si>
    <t>Formula: total Nilai periode / total Bobot indikator yang memiliki Nilai x 100.</t>
  </si>
  <si>
    <t>Total Indikator</t>
  </si>
  <si>
    <t>Jumlah indikator utama RKM pada periode berjalan.</t>
  </si>
  <si>
    <t>Indikator Tercapai</t>
  </si>
  <si>
    <t>Indikator dengan pencapaian &gt;= 100% atau status Tercapai.</t>
  </si>
  <si>
    <t>Indikator Hampir Tercapai</t>
  </si>
  <si>
    <t>Indikator dengan pencapaian 95% sampai kurang dari 100%.</t>
  </si>
  <si>
    <t>Indikator Tidak Tercapai</t>
  </si>
  <si>
    <t>Indikator dengan pencapaian kurang dari 95%.</t>
  </si>
  <si>
    <t>Indikator Belum Diukur</t>
  </si>
  <si>
    <t>Indikator yang belum memiliki nilai/pengukuran pada periode berjalan.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</si>
</sst>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4.0"/>
      <color rgb="FF00206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1" fillId="0" fontId="1" numFmtId="4" xfId="0" applyAlignment="1" applyBorder="1" applyFont="1" applyNumberFormat="1">
      <alignment shrinkToFit="0" vertical="center" wrapText="1"/>
    </xf>
    <xf borderId="1" fillId="0" fontId="1" numFmtId="10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14.0"/>
    <col customWidth="1" min="3" max="6" width="8.71"/>
  </cols>
  <sheetData>
    <row r="1">
      <c r="A1" s="3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29</v>
      </c>
      <c r="B2" s="1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38</v>
      </c>
      <c r="B3" s="1" t="s">
        <v>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</v>
      </c>
      <c r="B4" s="1" t="s">
        <v>47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6" width="8.71"/>
  </cols>
  <sheetData>
    <row r="1">
      <c r="A1" s="2" t="s">
        <v>1</v>
      </c>
      <c r="B1" s="2" t="s">
        <v>12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19</v>
      </c>
      <c r="B2" s="4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19</v>
      </c>
      <c r="B3" s="4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19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19</v>
      </c>
      <c r="B5" s="4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45</v>
      </c>
      <c r="B6" s="4" t="s">
        <v>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45</v>
      </c>
      <c r="B7" s="4" t="s">
        <v>49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45</v>
      </c>
      <c r="B8" s="4" t="s">
        <v>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45</v>
      </c>
      <c r="B9" s="4" t="s">
        <v>57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45</v>
      </c>
      <c r="B10" s="4" t="s">
        <v>60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45</v>
      </c>
      <c r="B11" s="4" t="s">
        <v>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45</v>
      </c>
      <c r="B12" s="4" t="s">
        <v>66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45</v>
      </c>
      <c r="B13" s="4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45</v>
      </c>
      <c r="B14" s="4" t="s">
        <v>74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45</v>
      </c>
      <c r="B15" s="4" t="s">
        <v>78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45</v>
      </c>
      <c r="B16" s="4" t="s">
        <v>81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45</v>
      </c>
      <c r="B17" s="4" t="s">
        <v>82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4" width="14.0"/>
    <col customWidth="1" min="5" max="5" width="15.0"/>
    <col customWidth="1" min="6" max="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1" t="s">
        <v>7</v>
      </c>
      <c r="C2" s="1" t="s">
        <v>8</v>
      </c>
      <c r="D2" s="1" t="s">
        <v>10</v>
      </c>
      <c r="E2" s="1" t="s">
        <v>11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1" t="s">
        <v>17</v>
      </c>
      <c r="C3" s="1" t="s">
        <v>8</v>
      </c>
      <c r="D3" s="1" t="s">
        <v>10</v>
      </c>
      <c r="E3" s="1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1" t="s">
        <v>18</v>
      </c>
      <c r="C4" s="1" t="s">
        <v>8</v>
      </c>
      <c r="D4" s="1" t="s">
        <v>10</v>
      </c>
      <c r="E4" s="1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1" t="s">
        <v>21</v>
      </c>
      <c r="C5" s="1" t="s">
        <v>23</v>
      </c>
      <c r="D5" s="1" t="s">
        <v>10</v>
      </c>
      <c r="E5" s="1" t="s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1" t="s">
        <v>25</v>
      </c>
      <c r="C6" s="1" t="s">
        <v>23</v>
      </c>
      <c r="D6" s="1" t="s">
        <v>10</v>
      </c>
      <c r="E6" s="1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1" t="s">
        <v>28</v>
      </c>
      <c r="C7" s="1" t="s">
        <v>23</v>
      </c>
      <c r="D7" s="1" t="s">
        <v>10</v>
      </c>
      <c r="E7" s="1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</v>
      </c>
      <c r="B8" s="1" t="s">
        <v>30</v>
      </c>
      <c r="C8" s="1" t="s">
        <v>23</v>
      </c>
      <c r="D8" s="1" t="s">
        <v>10</v>
      </c>
      <c r="E8" s="1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</v>
      </c>
      <c r="B9" s="1" t="s">
        <v>35</v>
      </c>
      <c r="C9" s="1" t="s">
        <v>23</v>
      </c>
      <c r="D9" s="1" t="s">
        <v>10</v>
      </c>
      <c r="E9" s="1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</v>
      </c>
      <c r="B10" s="1" t="s">
        <v>37</v>
      </c>
      <c r="C10" s="1" t="s">
        <v>23</v>
      </c>
      <c r="D10" s="1" t="s">
        <v>10</v>
      </c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</v>
      </c>
      <c r="B11" s="1" t="s">
        <v>41</v>
      </c>
      <c r="C11" s="1" t="s">
        <v>23</v>
      </c>
      <c r="D11" s="1" t="s">
        <v>10</v>
      </c>
      <c r="E11" s="1" t="s">
        <v>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</v>
      </c>
      <c r="B12" s="1" t="s">
        <v>44</v>
      </c>
      <c r="C12" s="1" t="s">
        <v>23</v>
      </c>
      <c r="D12" s="1" t="s">
        <v>10</v>
      </c>
      <c r="E12" s="1" t="s">
        <v>11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</v>
      </c>
      <c r="B13" s="1" t="s">
        <v>48</v>
      </c>
      <c r="C13" s="1" t="s">
        <v>23</v>
      </c>
      <c r="D13" s="1" t="s">
        <v>10</v>
      </c>
      <c r="E13" s="1" t="s">
        <v>11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</v>
      </c>
      <c r="B14" s="1" t="s">
        <v>50</v>
      </c>
      <c r="C14" s="1" t="s">
        <v>23</v>
      </c>
      <c r="D14" s="1" t="s">
        <v>10</v>
      </c>
      <c r="E14" s="1" t="s">
        <v>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</v>
      </c>
      <c r="B15" s="1" t="s">
        <v>54</v>
      </c>
      <c r="C15" s="1" t="s">
        <v>23</v>
      </c>
      <c r="D15" s="1" t="s">
        <v>10</v>
      </c>
      <c r="E15" s="1" t="s">
        <v>11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56</v>
      </c>
      <c r="B16" s="1" t="s">
        <v>7</v>
      </c>
      <c r="C16" s="1" t="s">
        <v>23</v>
      </c>
      <c r="D16" s="1" t="s">
        <v>10</v>
      </c>
      <c r="E16" s="1" t="s">
        <v>11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56</v>
      </c>
      <c r="B17" s="1" t="s">
        <v>17</v>
      </c>
      <c r="C17" s="1" t="s">
        <v>23</v>
      </c>
      <c r="D17" s="1" t="s">
        <v>10</v>
      </c>
      <c r="E17" s="1" t="s">
        <v>11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56</v>
      </c>
      <c r="B18" s="1" t="s">
        <v>18</v>
      </c>
      <c r="C18" s="1" t="s">
        <v>8</v>
      </c>
      <c r="D18" s="1" t="s">
        <v>10</v>
      </c>
      <c r="E18" s="1" t="s">
        <v>11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56</v>
      </c>
      <c r="B19" s="1" t="s">
        <v>21</v>
      </c>
      <c r="C19" s="1" t="s">
        <v>23</v>
      </c>
      <c r="D19" s="1" t="s">
        <v>10</v>
      </c>
      <c r="E19" s="1" t="s">
        <v>11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56</v>
      </c>
      <c r="B20" s="1" t="s">
        <v>25</v>
      </c>
      <c r="C20" s="1" t="s">
        <v>23</v>
      </c>
      <c r="D20" s="1" t="s">
        <v>10</v>
      </c>
      <c r="E20" s="1" t="s">
        <v>11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56</v>
      </c>
      <c r="B21" s="1" t="s">
        <v>28</v>
      </c>
      <c r="C21" s="1" t="s">
        <v>23</v>
      </c>
      <c r="D21" s="1" t="s">
        <v>10</v>
      </c>
      <c r="E21" s="1" t="s">
        <v>11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56</v>
      </c>
      <c r="B22" s="1" t="s">
        <v>30</v>
      </c>
      <c r="C22" s="1" t="s">
        <v>23</v>
      </c>
      <c r="D22" s="1" t="s">
        <v>10</v>
      </c>
      <c r="E22" s="1" t="s">
        <v>11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56</v>
      </c>
      <c r="B23" s="1" t="s">
        <v>35</v>
      </c>
      <c r="C23" s="1" t="s">
        <v>23</v>
      </c>
      <c r="D23" s="1" t="s">
        <v>10</v>
      </c>
      <c r="E23" s="1" t="s">
        <v>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56</v>
      </c>
      <c r="B24" s="1" t="s">
        <v>37</v>
      </c>
      <c r="C24" s="1" t="s">
        <v>23</v>
      </c>
      <c r="D24" s="1" t="s">
        <v>10</v>
      </c>
      <c r="E24" s="1" t="s">
        <v>11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56</v>
      </c>
      <c r="B25" s="1" t="s">
        <v>41</v>
      </c>
      <c r="C25" s="1" t="s">
        <v>8</v>
      </c>
      <c r="D25" s="1" t="s">
        <v>10</v>
      </c>
      <c r="E25" s="1" t="s">
        <v>11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56</v>
      </c>
      <c r="B26" s="1" t="s">
        <v>44</v>
      </c>
      <c r="C26" s="1" t="s">
        <v>8</v>
      </c>
      <c r="D26" s="1" t="s">
        <v>10</v>
      </c>
      <c r="E26" s="1" t="s">
        <v>11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56</v>
      </c>
      <c r="B27" s="1" t="s">
        <v>48</v>
      </c>
      <c r="C27" s="1" t="s">
        <v>8</v>
      </c>
      <c r="D27" s="1" t="s">
        <v>10</v>
      </c>
      <c r="E27" s="1" t="s">
        <v>11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56</v>
      </c>
      <c r="B28" s="1" t="s">
        <v>50</v>
      </c>
      <c r="C28" s="1" t="s">
        <v>8</v>
      </c>
      <c r="D28" s="1" t="s">
        <v>10</v>
      </c>
      <c r="E28" s="1" t="s">
        <v>11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56</v>
      </c>
      <c r="B29" s="1" t="s">
        <v>54</v>
      </c>
      <c r="C29" s="1" t="s">
        <v>8</v>
      </c>
      <c r="D29" s="1" t="s">
        <v>10</v>
      </c>
      <c r="E29" s="1" t="s">
        <v>11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79</v>
      </c>
      <c r="B30" s="1" t="s">
        <v>7</v>
      </c>
      <c r="C30" s="1" t="s">
        <v>80</v>
      </c>
      <c r="D30" s="1" t="s">
        <v>10</v>
      </c>
      <c r="E30" s="1" t="s">
        <v>11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79</v>
      </c>
      <c r="B31" s="1" t="s">
        <v>17</v>
      </c>
      <c r="C31" s="1" t="s">
        <v>80</v>
      </c>
      <c r="D31" s="1" t="s">
        <v>10</v>
      </c>
      <c r="E31" s="1" t="s">
        <v>11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79</v>
      </c>
      <c r="B32" s="1" t="s">
        <v>18</v>
      </c>
      <c r="C32" s="1" t="s">
        <v>8</v>
      </c>
      <c r="D32" s="1" t="s">
        <v>10</v>
      </c>
      <c r="E32" s="1" t="s">
        <v>11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79</v>
      </c>
      <c r="B33" s="1" t="s">
        <v>21</v>
      </c>
      <c r="C33" s="1" t="s">
        <v>8</v>
      </c>
      <c r="D33" s="1" t="s">
        <v>10</v>
      </c>
      <c r="E33" s="1" t="s">
        <v>11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79</v>
      </c>
      <c r="B34" s="1" t="s">
        <v>25</v>
      </c>
      <c r="C34" s="1" t="s">
        <v>8</v>
      </c>
      <c r="D34" s="1" t="s">
        <v>10</v>
      </c>
      <c r="E34" s="1" t="s">
        <v>11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79</v>
      </c>
      <c r="B35" s="1" t="s">
        <v>28</v>
      </c>
      <c r="C35" s="1" t="s">
        <v>23</v>
      </c>
      <c r="D35" s="1" t="s">
        <v>10</v>
      </c>
      <c r="E35" s="1" t="s">
        <v>11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79</v>
      </c>
      <c r="B36" s="1" t="s">
        <v>30</v>
      </c>
      <c r="C36" s="1" t="s">
        <v>8</v>
      </c>
      <c r="D36" s="1" t="s">
        <v>10</v>
      </c>
      <c r="E36" s="1" t="s">
        <v>11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79</v>
      </c>
      <c r="B37" s="1" t="s">
        <v>35</v>
      </c>
      <c r="C37" s="1" t="s">
        <v>8</v>
      </c>
      <c r="D37" s="1" t="s">
        <v>10</v>
      </c>
      <c r="E37" s="1" t="s">
        <v>11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79</v>
      </c>
      <c r="B38" s="1" t="s">
        <v>37</v>
      </c>
      <c r="C38" s="1" t="s">
        <v>8</v>
      </c>
      <c r="D38" s="1" t="s">
        <v>10</v>
      </c>
      <c r="E38" s="1" t="s">
        <v>11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79</v>
      </c>
      <c r="B39" s="1" t="s">
        <v>41</v>
      </c>
      <c r="C39" s="1" t="s">
        <v>8</v>
      </c>
      <c r="D39" s="1" t="s">
        <v>10</v>
      </c>
      <c r="E39" s="1" t="s">
        <v>11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79</v>
      </c>
      <c r="B40" s="1" t="s">
        <v>44</v>
      </c>
      <c r="C40" s="1" t="s">
        <v>8</v>
      </c>
      <c r="D40" s="1" t="s">
        <v>10</v>
      </c>
      <c r="E40" s="1" t="s">
        <v>11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79</v>
      </c>
      <c r="B41" s="1" t="s">
        <v>48</v>
      </c>
      <c r="C41" s="1" t="s">
        <v>8</v>
      </c>
      <c r="D41" s="1" t="s">
        <v>10</v>
      </c>
      <c r="E41" s="1" t="s">
        <v>11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79</v>
      </c>
      <c r="B42" s="1" t="s">
        <v>50</v>
      </c>
      <c r="C42" s="1" t="s">
        <v>8</v>
      </c>
      <c r="D42" s="1" t="s">
        <v>10</v>
      </c>
      <c r="E42" s="1" t="s">
        <v>11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79</v>
      </c>
      <c r="B43" s="1" t="s">
        <v>54</v>
      </c>
      <c r="C43" s="1" t="s">
        <v>23</v>
      </c>
      <c r="D43" s="1" t="s">
        <v>10</v>
      </c>
      <c r="E43" s="1" t="s">
        <v>11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83</v>
      </c>
      <c r="B44" s="1" t="s">
        <v>7</v>
      </c>
      <c r="C44" s="1" t="s">
        <v>80</v>
      </c>
      <c r="D44" s="1" t="s">
        <v>10</v>
      </c>
      <c r="E44" s="1" t="s">
        <v>11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83</v>
      </c>
      <c r="B45" s="1" t="s">
        <v>17</v>
      </c>
      <c r="C45" s="1" t="s">
        <v>80</v>
      </c>
      <c r="D45" s="1" t="s">
        <v>10</v>
      </c>
      <c r="E45" s="1" t="s">
        <v>11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83</v>
      </c>
      <c r="B46" s="1" t="s">
        <v>18</v>
      </c>
      <c r="C46" s="1" t="s">
        <v>8</v>
      </c>
      <c r="D46" s="1" t="s">
        <v>10</v>
      </c>
      <c r="E46" s="1" t="s">
        <v>11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83</v>
      </c>
      <c r="B47" s="1" t="s">
        <v>21</v>
      </c>
      <c r="C47" s="1" t="s">
        <v>8</v>
      </c>
      <c r="D47" s="1" t="s">
        <v>10</v>
      </c>
      <c r="E47" s="1" t="s">
        <v>11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83</v>
      </c>
      <c r="B48" s="1" t="s">
        <v>25</v>
      </c>
      <c r="C48" s="1" t="s">
        <v>8</v>
      </c>
      <c r="D48" s="1" t="s">
        <v>10</v>
      </c>
      <c r="E48" s="1" t="s">
        <v>11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83</v>
      </c>
      <c r="B49" s="1" t="s">
        <v>28</v>
      </c>
      <c r="C49" s="1" t="s">
        <v>23</v>
      </c>
      <c r="D49" s="1" t="s">
        <v>10</v>
      </c>
      <c r="E49" s="1" t="s">
        <v>11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83</v>
      </c>
      <c r="B50" s="1" t="s">
        <v>30</v>
      </c>
      <c r="C50" s="1" t="s">
        <v>8</v>
      </c>
      <c r="D50" s="1" t="s">
        <v>10</v>
      </c>
      <c r="E50" s="1" t="s">
        <v>11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83</v>
      </c>
      <c r="B51" s="1" t="s">
        <v>35</v>
      </c>
      <c r="C51" s="1" t="s">
        <v>8</v>
      </c>
      <c r="D51" s="1" t="s">
        <v>10</v>
      </c>
      <c r="E51" s="1" t="s">
        <v>11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83</v>
      </c>
      <c r="B52" s="1" t="s">
        <v>37</v>
      </c>
      <c r="C52" s="1" t="s">
        <v>8</v>
      </c>
      <c r="D52" s="1" t="s">
        <v>10</v>
      </c>
      <c r="E52" s="1" t="s">
        <v>11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83</v>
      </c>
      <c r="B53" s="1" t="s">
        <v>41</v>
      </c>
      <c r="C53" s="1" t="s">
        <v>8</v>
      </c>
      <c r="D53" s="1" t="s">
        <v>10</v>
      </c>
      <c r="E53" s="1" t="s">
        <v>11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83</v>
      </c>
      <c r="B54" s="1" t="s">
        <v>44</v>
      </c>
      <c r="C54" s="1" t="s">
        <v>8</v>
      </c>
      <c r="D54" s="1" t="s">
        <v>10</v>
      </c>
      <c r="E54" s="1" t="s">
        <v>11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83</v>
      </c>
      <c r="B55" s="1" t="s">
        <v>48</v>
      </c>
      <c r="C55" s="1" t="s">
        <v>80</v>
      </c>
      <c r="D55" s="1" t="s">
        <v>10</v>
      </c>
      <c r="E55" s="1" t="s">
        <v>11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83</v>
      </c>
      <c r="B56" s="1" t="s">
        <v>50</v>
      </c>
      <c r="C56" s="1" t="s">
        <v>8</v>
      </c>
      <c r="D56" s="1" t="s">
        <v>10</v>
      </c>
      <c r="E56" s="1" t="s">
        <v>11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83</v>
      </c>
      <c r="B57" s="1" t="s">
        <v>54</v>
      </c>
      <c r="C57" s="1" t="s">
        <v>80</v>
      </c>
      <c r="D57" s="1" t="s">
        <v>10</v>
      </c>
      <c r="E57" s="1" t="s">
        <v>11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84</v>
      </c>
      <c r="B58" s="1" t="s">
        <v>7</v>
      </c>
      <c r="C58" s="1" t="s">
        <v>8</v>
      </c>
      <c r="D58" s="1" t="s">
        <v>10</v>
      </c>
      <c r="E58" s="1" t="s">
        <v>11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84</v>
      </c>
      <c r="B59" s="1" t="s">
        <v>17</v>
      </c>
      <c r="C59" s="1" t="s">
        <v>80</v>
      </c>
      <c r="D59" s="1" t="s">
        <v>10</v>
      </c>
      <c r="E59" s="1" t="s">
        <v>11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84</v>
      </c>
      <c r="B60" s="1" t="s">
        <v>18</v>
      </c>
      <c r="C60" s="1" t="s">
        <v>8</v>
      </c>
      <c r="D60" s="1" t="s">
        <v>10</v>
      </c>
      <c r="E60" s="1" t="s">
        <v>11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84</v>
      </c>
      <c r="B61" s="1" t="s">
        <v>21</v>
      </c>
      <c r="C61" s="1" t="s">
        <v>8</v>
      </c>
      <c r="D61" s="1" t="s">
        <v>10</v>
      </c>
      <c r="E61" s="1" t="s">
        <v>11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84</v>
      </c>
      <c r="B62" s="1" t="s">
        <v>25</v>
      </c>
      <c r="C62" s="1" t="s">
        <v>8</v>
      </c>
      <c r="D62" s="1" t="s">
        <v>10</v>
      </c>
      <c r="E62" s="1" t="s">
        <v>11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84</v>
      </c>
      <c r="B63" s="1" t="s">
        <v>28</v>
      </c>
      <c r="C63" s="1" t="s">
        <v>23</v>
      </c>
      <c r="D63" s="1" t="s">
        <v>10</v>
      </c>
      <c r="E63" s="1" t="s">
        <v>11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84</v>
      </c>
      <c r="B64" s="1" t="s">
        <v>30</v>
      </c>
      <c r="C64" s="1" t="s">
        <v>8</v>
      </c>
      <c r="D64" s="1" t="s">
        <v>10</v>
      </c>
      <c r="E64" s="1" t="s">
        <v>11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84</v>
      </c>
      <c r="B65" s="1" t="s">
        <v>35</v>
      </c>
      <c r="C65" s="1" t="s">
        <v>8</v>
      </c>
      <c r="D65" s="1" t="s">
        <v>10</v>
      </c>
      <c r="E65" s="1" t="s">
        <v>11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84</v>
      </c>
      <c r="B66" s="1" t="s">
        <v>37</v>
      </c>
      <c r="C66" s="1" t="s">
        <v>8</v>
      </c>
      <c r="D66" s="1" t="s">
        <v>10</v>
      </c>
      <c r="E66" s="1" t="s">
        <v>11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84</v>
      </c>
      <c r="B67" s="1" t="s">
        <v>41</v>
      </c>
      <c r="C67" s="1" t="s">
        <v>8</v>
      </c>
      <c r="D67" s="1" t="s">
        <v>10</v>
      </c>
      <c r="E67" s="1" t="s">
        <v>11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84</v>
      </c>
      <c r="B68" s="1" t="s">
        <v>44</v>
      </c>
      <c r="C68" s="1" t="s">
        <v>8</v>
      </c>
      <c r="D68" s="1" t="s">
        <v>10</v>
      </c>
      <c r="E68" s="1" t="s">
        <v>11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84</v>
      </c>
      <c r="B69" s="1" t="s">
        <v>48</v>
      </c>
      <c r="C69" s="1" t="s">
        <v>8</v>
      </c>
      <c r="D69" s="1" t="s">
        <v>10</v>
      </c>
      <c r="E69" s="1" t="s">
        <v>11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84</v>
      </c>
      <c r="B70" s="1" t="s">
        <v>50</v>
      </c>
      <c r="C70" s="1" t="s">
        <v>8</v>
      </c>
      <c r="D70" s="1" t="s">
        <v>10</v>
      </c>
      <c r="E70" s="1" t="s">
        <v>11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84</v>
      </c>
      <c r="B71" s="1" t="s">
        <v>54</v>
      </c>
      <c r="C71" s="1" t="s">
        <v>8</v>
      </c>
      <c r="D71" s="1" t="s">
        <v>10</v>
      </c>
      <c r="E71" s="1" t="s">
        <v>11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85</v>
      </c>
      <c r="B72" s="1" t="s">
        <v>7</v>
      </c>
      <c r="C72" s="1" t="s">
        <v>23</v>
      </c>
      <c r="D72" s="1" t="s">
        <v>10</v>
      </c>
      <c r="E72" s="1" t="s">
        <v>11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85</v>
      </c>
      <c r="B73" s="1" t="s">
        <v>17</v>
      </c>
      <c r="C73" s="1" t="s">
        <v>23</v>
      </c>
      <c r="D73" s="1" t="s">
        <v>10</v>
      </c>
      <c r="E73" s="1" t="s">
        <v>11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85</v>
      </c>
      <c r="B74" s="1" t="s">
        <v>18</v>
      </c>
      <c r="C74" s="1" t="s">
        <v>8</v>
      </c>
      <c r="D74" s="1" t="s">
        <v>10</v>
      </c>
      <c r="E74" s="1" t="s">
        <v>11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85</v>
      </c>
      <c r="B75" s="1" t="s">
        <v>21</v>
      </c>
      <c r="C75" s="1" t="s">
        <v>8</v>
      </c>
      <c r="D75" s="1" t="s">
        <v>10</v>
      </c>
      <c r="E75" s="1" t="s">
        <v>11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85</v>
      </c>
      <c r="B76" s="1" t="s">
        <v>25</v>
      </c>
      <c r="C76" s="1" t="s">
        <v>8</v>
      </c>
      <c r="D76" s="1" t="s">
        <v>10</v>
      </c>
      <c r="E76" s="1" t="s">
        <v>11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85</v>
      </c>
      <c r="B77" s="1" t="s">
        <v>28</v>
      </c>
      <c r="C77" s="1" t="s">
        <v>23</v>
      </c>
      <c r="D77" s="1" t="s">
        <v>10</v>
      </c>
      <c r="E77" s="1" t="s">
        <v>11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85</v>
      </c>
      <c r="B78" s="1" t="s">
        <v>30</v>
      </c>
      <c r="C78" s="1" t="s">
        <v>8</v>
      </c>
      <c r="D78" s="1" t="s">
        <v>10</v>
      </c>
      <c r="E78" s="1" t="s">
        <v>11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85</v>
      </c>
      <c r="B79" s="1" t="s">
        <v>35</v>
      </c>
      <c r="C79" s="1" t="s">
        <v>8</v>
      </c>
      <c r="D79" s="1" t="s">
        <v>10</v>
      </c>
      <c r="E79" s="1" t="s">
        <v>11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85</v>
      </c>
      <c r="B80" s="1" t="s">
        <v>37</v>
      </c>
      <c r="C80" s="1" t="s">
        <v>8</v>
      </c>
      <c r="D80" s="1" t="s">
        <v>10</v>
      </c>
      <c r="E80" s="1" t="s">
        <v>11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85</v>
      </c>
      <c r="B81" s="1" t="s">
        <v>41</v>
      </c>
      <c r="C81" s="1" t="s">
        <v>8</v>
      </c>
      <c r="D81" s="1" t="s">
        <v>10</v>
      </c>
      <c r="E81" s="1" t="s">
        <v>11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85</v>
      </c>
      <c r="B82" s="1" t="s">
        <v>44</v>
      </c>
      <c r="C82" s="1" t="s">
        <v>8</v>
      </c>
      <c r="D82" s="1" t="s">
        <v>10</v>
      </c>
      <c r="E82" s="1" t="s">
        <v>11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85</v>
      </c>
      <c r="B83" s="1" t="s">
        <v>48</v>
      </c>
      <c r="C83" s="1" t="s">
        <v>8</v>
      </c>
      <c r="D83" s="1" t="s">
        <v>10</v>
      </c>
      <c r="E83" s="1" t="s">
        <v>11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85</v>
      </c>
      <c r="B84" s="1" t="s">
        <v>50</v>
      </c>
      <c r="C84" s="1" t="s">
        <v>8</v>
      </c>
      <c r="D84" s="1" t="s">
        <v>10</v>
      </c>
      <c r="E84" s="1" t="s">
        <v>11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85</v>
      </c>
      <c r="B85" s="1" t="s">
        <v>54</v>
      </c>
      <c r="C85" s="1" t="s">
        <v>80</v>
      </c>
      <c r="D85" s="1" t="s">
        <v>10</v>
      </c>
      <c r="E85" s="1" t="s">
        <v>11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86</v>
      </c>
      <c r="B86" s="1" t="s">
        <v>7</v>
      </c>
      <c r="C86" s="1" t="s">
        <v>8</v>
      </c>
      <c r="D86" s="1" t="s">
        <v>10</v>
      </c>
      <c r="E86" s="1" t="s">
        <v>11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86</v>
      </c>
      <c r="B87" s="1" t="s">
        <v>17</v>
      </c>
      <c r="C87" s="1" t="s">
        <v>8</v>
      </c>
      <c r="D87" s="1" t="s">
        <v>10</v>
      </c>
      <c r="E87" s="1" t="s">
        <v>11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86</v>
      </c>
      <c r="B88" s="1" t="s">
        <v>18</v>
      </c>
      <c r="C88" s="1" t="s">
        <v>8</v>
      </c>
      <c r="D88" s="1" t="s">
        <v>10</v>
      </c>
      <c r="E88" s="1" t="s">
        <v>11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86</v>
      </c>
      <c r="B89" s="1" t="s">
        <v>21</v>
      </c>
      <c r="C89" s="1" t="s">
        <v>8</v>
      </c>
      <c r="D89" s="1" t="s">
        <v>10</v>
      </c>
      <c r="E89" s="1" t="s">
        <v>11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86</v>
      </c>
      <c r="B90" s="1" t="s">
        <v>25</v>
      </c>
      <c r="C90" s="1" t="s">
        <v>8</v>
      </c>
      <c r="D90" s="1" t="s">
        <v>10</v>
      </c>
      <c r="E90" s="1" t="s">
        <v>11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86</v>
      </c>
      <c r="B91" s="1" t="s">
        <v>28</v>
      </c>
      <c r="C91" s="1" t="s">
        <v>23</v>
      </c>
      <c r="D91" s="1" t="s">
        <v>10</v>
      </c>
      <c r="E91" s="1" t="s">
        <v>11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86</v>
      </c>
      <c r="B92" s="1" t="s">
        <v>30</v>
      </c>
      <c r="C92" s="1" t="s">
        <v>8</v>
      </c>
      <c r="D92" s="1" t="s">
        <v>10</v>
      </c>
      <c r="E92" s="1" t="s">
        <v>11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86</v>
      </c>
      <c r="B93" s="1" t="s">
        <v>35</v>
      </c>
      <c r="C93" s="1" t="s">
        <v>8</v>
      </c>
      <c r="D93" s="1" t="s">
        <v>10</v>
      </c>
      <c r="E93" s="1" t="s">
        <v>11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86</v>
      </c>
      <c r="B94" s="1" t="s">
        <v>37</v>
      </c>
      <c r="C94" s="1" t="s">
        <v>8</v>
      </c>
      <c r="D94" s="1" t="s">
        <v>10</v>
      </c>
      <c r="E94" s="1" t="s">
        <v>11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86</v>
      </c>
      <c r="B95" s="1" t="s">
        <v>41</v>
      </c>
      <c r="C95" s="1" t="s">
        <v>8</v>
      </c>
      <c r="D95" s="1" t="s">
        <v>10</v>
      </c>
      <c r="E95" s="1" t="s">
        <v>11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86</v>
      </c>
      <c r="B96" s="1" t="s">
        <v>44</v>
      </c>
      <c r="C96" s="1" t="s">
        <v>8</v>
      </c>
      <c r="D96" s="1" t="s">
        <v>10</v>
      </c>
      <c r="E96" s="1" t="s">
        <v>11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86</v>
      </c>
      <c r="B97" s="1" t="s">
        <v>48</v>
      </c>
      <c r="C97" s="1" t="s">
        <v>8</v>
      </c>
      <c r="D97" s="1" t="s">
        <v>10</v>
      </c>
      <c r="E97" s="1" t="s">
        <v>11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86</v>
      </c>
      <c r="B98" s="1" t="s">
        <v>50</v>
      </c>
      <c r="C98" s="1" t="s">
        <v>8</v>
      </c>
      <c r="D98" s="1" t="s">
        <v>10</v>
      </c>
      <c r="E98" s="1" t="s">
        <v>11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86</v>
      </c>
      <c r="B99" s="1" t="s">
        <v>54</v>
      </c>
      <c r="C99" s="1" t="s">
        <v>8</v>
      </c>
      <c r="D99" s="1" t="s">
        <v>10</v>
      </c>
      <c r="E99" s="1" t="s">
        <v>11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87</v>
      </c>
      <c r="B100" s="1" t="s">
        <v>7</v>
      </c>
      <c r="C100" s="1" t="s">
        <v>8</v>
      </c>
      <c r="D100" s="1" t="s">
        <v>10</v>
      </c>
      <c r="E100" s="1" t="s">
        <v>11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87</v>
      </c>
      <c r="B101" s="1" t="s">
        <v>17</v>
      </c>
      <c r="C101" s="1" t="s">
        <v>8</v>
      </c>
      <c r="D101" s="1" t="s">
        <v>10</v>
      </c>
      <c r="E101" s="1" t="s">
        <v>11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87</v>
      </c>
      <c r="B102" s="1" t="s">
        <v>18</v>
      </c>
      <c r="C102" s="1" t="s">
        <v>23</v>
      </c>
      <c r="D102" s="1" t="s">
        <v>10</v>
      </c>
      <c r="E102" s="1" t="s">
        <v>11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87</v>
      </c>
      <c r="B103" s="1" t="s">
        <v>21</v>
      </c>
      <c r="C103" s="1" t="s">
        <v>23</v>
      </c>
      <c r="D103" s="1" t="s">
        <v>10</v>
      </c>
      <c r="E103" s="1" t="s">
        <v>11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87</v>
      </c>
      <c r="B104" s="1" t="s">
        <v>25</v>
      </c>
      <c r="C104" s="1" t="s">
        <v>23</v>
      </c>
      <c r="D104" s="1" t="s">
        <v>10</v>
      </c>
      <c r="E104" s="1" t="s">
        <v>11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87</v>
      </c>
      <c r="B105" s="1" t="s">
        <v>28</v>
      </c>
      <c r="C105" s="1" t="s">
        <v>23</v>
      </c>
      <c r="D105" s="1" t="s">
        <v>10</v>
      </c>
      <c r="E105" s="1" t="s">
        <v>11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87</v>
      </c>
      <c r="B106" s="1" t="s">
        <v>30</v>
      </c>
      <c r="C106" s="1" t="s">
        <v>23</v>
      </c>
      <c r="D106" s="1" t="s">
        <v>10</v>
      </c>
      <c r="E106" s="1" t="s">
        <v>11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87</v>
      </c>
      <c r="B107" s="1" t="s">
        <v>35</v>
      </c>
      <c r="C107" s="1" t="s">
        <v>23</v>
      </c>
      <c r="D107" s="1" t="s">
        <v>10</v>
      </c>
      <c r="E107" s="1" t="s">
        <v>11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87</v>
      </c>
      <c r="B108" s="1" t="s">
        <v>37</v>
      </c>
      <c r="C108" s="1" t="s">
        <v>23</v>
      </c>
      <c r="D108" s="1" t="s">
        <v>10</v>
      </c>
      <c r="E108" s="1" t="s">
        <v>11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87</v>
      </c>
      <c r="B109" s="1" t="s">
        <v>41</v>
      </c>
      <c r="C109" s="1" t="s">
        <v>8</v>
      </c>
      <c r="D109" s="1" t="s">
        <v>10</v>
      </c>
      <c r="E109" s="1" t="s">
        <v>11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87</v>
      </c>
      <c r="B110" s="1" t="s">
        <v>44</v>
      </c>
      <c r="C110" s="1" t="s">
        <v>8</v>
      </c>
      <c r="D110" s="1" t="s">
        <v>10</v>
      </c>
      <c r="E110" s="1" t="s">
        <v>11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87</v>
      </c>
      <c r="B111" s="1" t="s">
        <v>48</v>
      </c>
      <c r="C111" s="1" t="s">
        <v>23</v>
      </c>
      <c r="D111" s="1" t="s">
        <v>10</v>
      </c>
      <c r="E111" s="1" t="s">
        <v>11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87</v>
      </c>
      <c r="B112" s="1" t="s">
        <v>50</v>
      </c>
      <c r="C112" s="1" t="s">
        <v>8</v>
      </c>
      <c r="D112" s="1" t="s">
        <v>10</v>
      </c>
      <c r="E112" s="1" t="s">
        <v>11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87</v>
      </c>
      <c r="B113" s="1" t="s">
        <v>54</v>
      </c>
      <c r="C113" s="1" t="s">
        <v>80</v>
      </c>
      <c r="D113" s="1" t="s">
        <v>10</v>
      </c>
      <c r="E113" s="1" t="s">
        <v>11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88</v>
      </c>
      <c r="B114" s="1" t="s">
        <v>7</v>
      </c>
      <c r="C114" s="1" t="s">
        <v>80</v>
      </c>
      <c r="D114" s="1" t="s">
        <v>10</v>
      </c>
      <c r="E114" s="1" t="s">
        <v>11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88</v>
      </c>
      <c r="B115" s="1" t="s">
        <v>17</v>
      </c>
      <c r="C115" s="1" t="s">
        <v>80</v>
      </c>
      <c r="D115" s="1" t="s">
        <v>10</v>
      </c>
      <c r="E115" s="1" t="s">
        <v>11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88</v>
      </c>
      <c r="B116" s="1" t="s">
        <v>18</v>
      </c>
      <c r="C116" s="1" t="s">
        <v>8</v>
      </c>
      <c r="D116" s="1" t="s">
        <v>10</v>
      </c>
      <c r="E116" s="1" t="s">
        <v>11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88</v>
      </c>
      <c r="B117" s="1" t="s">
        <v>21</v>
      </c>
      <c r="C117" s="1" t="s">
        <v>8</v>
      </c>
      <c r="D117" s="1" t="s">
        <v>10</v>
      </c>
      <c r="E117" s="1" t="s">
        <v>11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88</v>
      </c>
      <c r="B118" s="1" t="s">
        <v>25</v>
      </c>
      <c r="C118" s="1" t="s">
        <v>8</v>
      </c>
      <c r="D118" s="1" t="s">
        <v>10</v>
      </c>
      <c r="E118" s="1" t="s">
        <v>11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88</v>
      </c>
      <c r="B119" s="1" t="s">
        <v>28</v>
      </c>
      <c r="C119" s="1" t="s">
        <v>23</v>
      </c>
      <c r="D119" s="1" t="s">
        <v>10</v>
      </c>
      <c r="E119" s="1" t="s">
        <v>11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88</v>
      </c>
      <c r="B120" s="1" t="s">
        <v>30</v>
      </c>
      <c r="C120" s="1" t="s">
        <v>8</v>
      </c>
      <c r="D120" s="1" t="s">
        <v>10</v>
      </c>
      <c r="E120" s="1" t="s">
        <v>11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88</v>
      </c>
      <c r="B121" s="1" t="s">
        <v>35</v>
      </c>
      <c r="C121" s="1" t="s">
        <v>8</v>
      </c>
      <c r="D121" s="1" t="s">
        <v>10</v>
      </c>
      <c r="E121" s="1" t="s">
        <v>11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88</v>
      </c>
      <c r="B122" s="1" t="s">
        <v>37</v>
      </c>
      <c r="C122" s="1" t="s">
        <v>8</v>
      </c>
      <c r="D122" s="1" t="s">
        <v>10</v>
      </c>
      <c r="E122" s="1" t="s">
        <v>11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88</v>
      </c>
      <c r="B123" s="1" t="s">
        <v>41</v>
      </c>
      <c r="C123" s="1" t="s">
        <v>8</v>
      </c>
      <c r="D123" s="1" t="s">
        <v>10</v>
      </c>
      <c r="E123" s="1" t="s">
        <v>11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88</v>
      </c>
      <c r="B124" s="1" t="s">
        <v>44</v>
      </c>
      <c r="C124" s="1" t="s">
        <v>8</v>
      </c>
      <c r="D124" s="1" t="s">
        <v>10</v>
      </c>
      <c r="E124" s="1" t="s">
        <v>11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88</v>
      </c>
      <c r="B125" s="1" t="s">
        <v>48</v>
      </c>
      <c r="C125" s="1" t="s">
        <v>8</v>
      </c>
      <c r="D125" s="1" t="s">
        <v>10</v>
      </c>
      <c r="E125" s="1" t="s">
        <v>11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88</v>
      </c>
      <c r="B126" s="1" t="s">
        <v>50</v>
      </c>
      <c r="C126" s="1" t="s">
        <v>8</v>
      </c>
      <c r="D126" s="1" t="s">
        <v>10</v>
      </c>
      <c r="E126" s="1" t="s">
        <v>11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88</v>
      </c>
      <c r="B127" s="1" t="s">
        <v>54</v>
      </c>
      <c r="C127" s="1" t="s">
        <v>80</v>
      </c>
      <c r="D127" s="1" t="s">
        <v>10</v>
      </c>
      <c r="E127" s="1" t="s">
        <v>11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89</v>
      </c>
      <c r="B128" s="1" t="s">
        <v>7</v>
      </c>
      <c r="C128" s="1" t="s">
        <v>80</v>
      </c>
      <c r="D128" s="1" t="s">
        <v>10</v>
      </c>
      <c r="E128" s="1" t="s">
        <v>11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89</v>
      </c>
      <c r="B129" s="1" t="s">
        <v>17</v>
      </c>
      <c r="C129" s="1" t="s">
        <v>80</v>
      </c>
      <c r="D129" s="1" t="s">
        <v>10</v>
      </c>
      <c r="E129" s="1" t="s">
        <v>11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89</v>
      </c>
      <c r="B130" s="1" t="s">
        <v>18</v>
      </c>
      <c r="C130" s="1" t="s">
        <v>8</v>
      </c>
      <c r="D130" s="1" t="s">
        <v>10</v>
      </c>
      <c r="E130" s="1" t="s">
        <v>11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89</v>
      </c>
      <c r="B131" s="1" t="s">
        <v>21</v>
      </c>
      <c r="C131" s="1" t="s">
        <v>8</v>
      </c>
      <c r="D131" s="1" t="s">
        <v>10</v>
      </c>
      <c r="E131" s="1" t="s">
        <v>11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89</v>
      </c>
      <c r="B132" s="1" t="s">
        <v>25</v>
      </c>
      <c r="C132" s="1" t="s">
        <v>8</v>
      </c>
      <c r="D132" s="1" t="s">
        <v>10</v>
      </c>
      <c r="E132" s="1" t="s">
        <v>11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89</v>
      </c>
      <c r="B133" s="1" t="s">
        <v>28</v>
      </c>
      <c r="C133" s="1" t="s">
        <v>23</v>
      </c>
      <c r="D133" s="1" t="s">
        <v>10</v>
      </c>
      <c r="E133" s="1" t="s">
        <v>11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89</v>
      </c>
      <c r="B134" s="1" t="s">
        <v>30</v>
      </c>
      <c r="C134" s="1" t="s">
        <v>8</v>
      </c>
      <c r="D134" s="1" t="s">
        <v>10</v>
      </c>
      <c r="E134" s="1" t="s">
        <v>11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89</v>
      </c>
      <c r="B135" s="1" t="s">
        <v>35</v>
      </c>
      <c r="C135" s="1" t="s">
        <v>8</v>
      </c>
      <c r="D135" s="1" t="s">
        <v>10</v>
      </c>
      <c r="E135" s="1" t="s">
        <v>11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89</v>
      </c>
      <c r="B136" s="1" t="s">
        <v>37</v>
      </c>
      <c r="C136" s="1" t="s">
        <v>8</v>
      </c>
      <c r="D136" s="1" t="s">
        <v>10</v>
      </c>
      <c r="E136" s="1" t="s">
        <v>11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89</v>
      </c>
      <c r="B137" s="1" t="s">
        <v>41</v>
      </c>
      <c r="C137" s="1" t="s">
        <v>80</v>
      </c>
      <c r="D137" s="1" t="s">
        <v>10</v>
      </c>
      <c r="E137" s="1" t="s">
        <v>11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89</v>
      </c>
      <c r="B138" s="1" t="s">
        <v>44</v>
      </c>
      <c r="C138" s="1" t="s">
        <v>80</v>
      </c>
      <c r="D138" s="1" t="s">
        <v>10</v>
      </c>
      <c r="E138" s="1" t="s">
        <v>11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89</v>
      </c>
      <c r="B139" s="1" t="s">
        <v>48</v>
      </c>
      <c r="C139" s="1" t="s">
        <v>8</v>
      </c>
      <c r="D139" s="1" t="s">
        <v>10</v>
      </c>
      <c r="E139" s="1" t="s">
        <v>11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89</v>
      </c>
      <c r="B140" s="1" t="s">
        <v>50</v>
      </c>
      <c r="C140" s="1" t="s">
        <v>8</v>
      </c>
      <c r="D140" s="1" t="s">
        <v>10</v>
      </c>
      <c r="E140" s="1" t="s">
        <v>11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89</v>
      </c>
      <c r="B141" s="1" t="s">
        <v>54</v>
      </c>
      <c r="C141" s="1" t="s">
        <v>8</v>
      </c>
      <c r="D141" s="1" t="s">
        <v>10</v>
      </c>
      <c r="E141" s="1" t="s">
        <v>11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  <col customWidth="1" min="2" max="2" width="28.86"/>
    <col customWidth="1" min="3" max="4" width="14.0"/>
    <col customWidth="1" min="5" max="5" width="18.0"/>
    <col customWidth="1" min="6" max="6" width="14.0"/>
    <col customWidth="1" min="7" max="7" width="15.0"/>
  </cols>
  <sheetData>
    <row r="1">
      <c r="A1" s="1" t="s">
        <v>9</v>
      </c>
      <c r="B1" s="1" t="s">
        <v>13</v>
      </c>
      <c r="C1" s="1" t="s">
        <v>14</v>
      </c>
      <c r="D1" s="1" t="s">
        <v>3</v>
      </c>
      <c r="E1" s="1" t="s">
        <v>16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20</v>
      </c>
      <c r="B2" s="1" t="s">
        <v>22</v>
      </c>
      <c r="C2" s="5">
        <v>66.0</v>
      </c>
      <c r="D2" s="1" t="s">
        <v>23</v>
      </c>
      <c r="E2" s="1" t="s">
        <v>26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33</v>
      </c>
      <c r="B3" s="1" t="s">
        <v>34</v>
      </c>
      <c r="C3" s="1">
        <v>100.0</v>
      </c>
      <c r="D3" s="1" t="s">
        <v>8</v>
      </c>
      <c r="E3" s="1" t="s">
        <v>36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42</v>
      </c>
      <c r="B4" s="5" t="s">
        <v>43</v>
      </c>
      <c r="C4" s="5">
        <v>92.0</v>
      </c>
      <c r="D4" s="5" t="s">
        <v>23</v>
      </c>
      <c r="E4" s="6">
        <v>46332.0</v>
      </c>
      <c r="G4" s="1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51</v>
      </c>
      <c r="B5" s="1" t="s">
        <v>53</v>
      </c>
      <c r="C5" s="5">
        <v>100.0</v>
      </c>
      <c r="D5" s="5" t="s">
        <v>8</v>
      </c>
      <c r="E5" s="1" t="s">
        <v>55</v>
      </c>
      <c r="G5" s="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58</v>
      </c>
      <c r="B6" s="5" t="s">
        <v>59</v>
      </c>
      <c r="C6" s="5">
        <v>100.0</v>
      </c>
      <c r="D6" s="1" t="s">
        <v>8</v>
      </c>
      <c r="E6" s="5" t="s">
        <v>61</v>
      </c>
      <c r="G6" s="1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62</v>
      </c>
      <c r="B7" s="1" t="s">
        <v>64</v>
      </c>
      <c r="C7" s="5">
        <v>79.0</v>
      </c>
      <c r="D7" s="1" t="s">
        <v>23</v>
      </c>
      <c r="E7" s="5" t="s">
        <v>65</v>
      </c>
      <c r="G7" s="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67</v>
      </c>
      <c r="B8" s="1" t="s">
        <v>68</v>
      </c>
      <c r="C8" s="1">
        <v>100.0</v>
      </c>
      <c r="D8" s="1" t="s">
        <v>8</v>
      </c>
      <c r="E8" s="1" t="s">
        <v>69</v>
      </c>
      <c r="G8" s="1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71</v>
      </c>
      <c r="B9" s="1" t="s">
        <v>72</v>
      </c>
      <c r="C9" s="1">
        <v>100.0</v>
      </c>
      <c r="D9" s="1" t="s">
        <v>8</v>
      </c>
      <c r="E9" s="1" t="s">
        <v>73</v>
      </c>
      <c r="G9" s="1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75</v>
      </c>
      <c r="B10" s="1" t="s">
        <v>76</v>
      </c>
      <c r="C10" s="1">
        <v>50.0</v>
      </c>
      <c r="D10" s="1" t="s">
        <v>23</v>
      </c>
      <c r="E10" s="5" t="s">
        <v>77</v>
      </c>
      <c r="G10" s="1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9.0"/>
    <col customWidth="1" min="4" max="5" width="14.0"/>
    <col customWidth="1" min="6" max="6" width="15.0"/>
    <col customWidth="1" min="7" max="7" width="14.0"/>
    <col customWidth="1" min="8" max="8" width="15.0"/>
    <col customWidth="1" min="9" max="9" width="14.0"/>
    <col customWidth="1" min="10" max="10" width="26.0"/>
    <col customWidth="1" min="11" max="11" width="21.0"/>
    <col customWidth="1" min="12" max="12" width="22.0"/>
    <col customWidth="1" min="13" max="13" width="15.0"/>
    <col customWidth="1" min="14" max="14" width="16.0"/>
    <col customWidth="1" min="15" max="15" width="38.0"/>
    <col customWidth="1" min="16" max="16" width="20.0"/>
    <col customWidth="1" min="17" max="17" width="21.0"/>
    <col customWidth="1" min="18" max="18" width="16.0"/>
    <col customWidth="1" min="19" max="19" width="17.0"/>
    <col customWidth="1" min="20" max="20" width="38.0"/>
    <col customWidth="1" min="21" max="21" width="17.0"/>
    <col customWidth="1" min="22" max="22" width="18.0"/>
    <col customWidth="1" min="23" max="23" width="13.0"/>
    <col customWidth="1" min="24" max="24" width="14.0"/>
    <col customWidth="1" min="25" max="26" width="38.0"/>
    <col customWidth="1" min="27" max="28" width="20.0"/>
    <col customWidth="1" min="29" max="29" width="14.0"/>
    <col customWidth="1" min="30" max="31" width="38.0"/>
    <col customWidth="1" min="32" max="33" width="20.0"/>
    <col customWidth="1" min="34" max="34" width="14.0"/>
    <col customWidth="1" min="35" max="37" width="21.0"/>
    <col customWidth="1" min="38" max="38" width="20.0"/>
    <col customWidth="1" min="39" max="39" width="19.0"/>
    <col customWidth="1" min="40" max="41" width="38.0"/>
    <col customWidth="1" min="42" max="43" width="20.0"/>
    <col customWidth="1" min="44" max="44" width="17.0"/>
    <col customWidth="1" min="45" max="45" width="38.0"/>
    <col customWidth="1" min="46" max="46" width="19.0"/>
    <col customWidth="1" min="47" max="47" width="20.0"/>
    <col customWidth="1" min="48" max="48" width="15.0"/>
    <col customWidth="1" min="49" max="49" width="16.0"/>
    <col customWidth="1" min="50" max="50" width="38.0"/>
    <col customWidth="1" min="51" max="51" width="21.0"/>
    <col customWidth="1" min="52" max="52" width="22.0"/>
    <col customWidth="1" min="53" max="53" width="17.0"/>
    <col customWidth="1" min="54" max="54" width="18.0"/>
    <col customWidth="1" min="55" max="55" width="38.0"/>
    <col customWidth="1" min="56" max="56" width="19.0"/>
    <col customWidth="1" min="57" max="57" width="20.0"/>
    <col customWidth="1" min="58" max="58" width="15.0"/>
    <col customWidth="1" min="59" max="59" width="16.0"/>
    <col customWidth="1" min="60" max="60" width="38.0"/>
    <col customWidth="1" min="61" max="61" width="20.0"/>
    <col customWidth="1" min="62" max="62" width="21.0"/>
    <col customWidth="1" min="63" max="63" width="16.0"/>
    <col customWidth="1" min="64" max="64" width="17.0"/>
    <col customWidth="1" min="65" max="65" width="38.0"/>
    <col customWidth="1" min="66" max="66" width="20.0"/>
    <col customWidth="1" min="67" max="67" width="21.0"/>
    <col customWidth="1" min="68" max="68" width="16.0"/>
    <col customWidth="1" min="69" max="69" width="17.0"/>
  </cols>
  <sheetData>
    <row r="1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4</v>
      </c>
      <c r="H1" s="2" t="s">
        <v>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</row>
    <row r="2">
      <c r="A2" s="4">
        <v>2026.0</v>
      </c>
      <c r="B2" s="4">
        <v>1.0</v>
      </c>
      <c r="C2" s="4" t="s">
        <v>157</v>
      </c>
      <c r="D2" s="4"/>
      <c r="E2" s="7"/>
      <c r="F2" s="7"/>
      <c r="G2" s="4" t="s">
        <v>159</v>
      </c>
      <c r="H2" s="4" t="s">
        <v>161</v>
      </c>
      <c r="I2" s="4">
        <v>15.0</v>
      </c>
      <c r="J2" s="7"/>
      <c r="K2" s="7"/>
      <c r="L2" s="8"/>
      <c r="M2" s="7"/>
      <c r="N2" s="4" t="s">
        <v>39</v>
      </c>
      <c r="O2" s="7"/>
      <c r="P2" s="7"/>
      <c r="Q2" s="8"/>
      <c r="R2" s="7"/>
      <c r="S2" s="4" t="s">
        <v>39</v>
      </c>
      <c r="T2" s="7"/>
      <c r="U2" s="7"/>
      <c r="V2" s="8"/>
      <c r="W2" s="7"/>
      <c r="X2" s="4" t="s">
        <v>39</v>
      </c>
      <c r="Y2" s="7"/>
      <c r="Z2" s="7"/>
      <c r="AA2" s="8">
        <v>1.070681103975428</v>
      </c>
      <c r="AB2" s="7">
        <v>21.41362207950856</v>
      </c>
      <c r="AC2" s="4" t="s">
        <v>24</v>
      </c>
      <c r="AD2" s="7"/>
      <c r="AE2" s="7"/>
      <c r="AF2" s="8">
        <v>1.089739980052882</v>
      </c>
      <c r="AG2" s="7">
        <v>21.79479960105764</v>
      </c>
      <c r="AH2" s="4" t="s">
        <v>24</v>
      </c>
      <c r="AI2" s="7"/>
      <c r="AJ2" s="7"/>
      <c r="AK2" s="8">
        <v>1.1</v>
      </c>
      <c r="AL2" s="7">
        <v>22.0</v>
      </c>
      <c r="AM2" s="4" t="s">
        <v>24</v>
      </c>
      <c r="AN2" s="7"/>
      <c r="AO2" s="7"/>
      <c r="AP2" s="8">
        <v>1.1</v>
      </c>
      <c r="AQ2" s="7">
        <v>22.0</v>
      </c>
      <c r="AR2" s="4" t="s">
        <v>24</v>
      </c>
      <c r="AS2" s="7"/>
      <c r="AT2" s="7"/>
      <c r="AU2" s="8"/>
      <c r="AV2" s="7"/>
      <c r="AW2" s="4" t="s">
        <v>39</v>
      </c>
      <c r="AX2" s="7"/>
      <c r="AY2" s="7"/>
      <c r="AZ2" s="8"/>
      <c r="BA2" s="7"/>
      <c r="BB2" s="4" t="s">
        <v>39</v>
      </c>
      <c r="BC2" s="7"/>
      <c r="BD2" s="7"/>
      <c r="BE2" s="8"/>
      <c r="BF2" s="7"/>
      <c r="BG2" s="4" t="s">
        <v>39</v>
      </c>
      <c r="BH2" s="7"/>
      <c r="BI2" s="7"/>
      <c r="BJ2" s="8"/>
      <c r="BK2" s="7"/>
      <c r="BL2" s="4" t="s">
        <v>39</v>
      </c>
      <c r="BM2" s="7"/>
      <c r="BN2" s="7"/>
      <c r="BO2" s="8"/>
      <c r="BP2" s="7"/>
      <c r="BQ2" s="4" t="s">
        <v>39</v>
      </c>
    </row>
    <row r="3">
      <c r="A3" s="4">
        <v>2026.0</v>
      </c>
      <c r="B3" s="4"/>
      <c r="C3" s="4" t="s">
        <v>170</v>
      </c>
      <c r="D3" s="4" t="s">
        <v>171</v>
      </c>
      <c r="E3" s="7">
        <v>14.0</v>
      </c>
      <c r="F3" s="7">
        <v>8856.162</v>
      </c>
      <c r="G3" s="4" t="s">
        <v>172</v>
      </c>
      <c r="H3" s="4" t="s">
        <v>161</v>
      </c>
      <c r="I3" s="4">
        <v>16.0</v>
      </c>
      <c r="J3" s="7">
        <v>714.8318700038402</v>
      </c>
      <c r="K3" s="7"/>
      <c r="L3" s="8"/>
      <c r="M3" s="7"/>
      <c r="N3" s="4" t="s">
        <v>39</v>
      </c>
      <c r="O3" s="7">
        <v>1330.74208884159</v>
      </c>
      <c r="P3" s="7"/>
      <c r="Q3" s="8"/>
      <c r="R3" s="7"/>
      <c r="S3" s="4" t="s">
        <v>39</v>
      </c>
      <c r="T3" s="7">
        <v>2100.391232830198</v>
      </c>
      <c r="U3" s="7"/>
      <c r="V3" s="8"/>
      <c r="W3" s="7"/>
      <c r="X3" s="4" t="s">
        <v>39</v>
      </c>
      <c r="Y3" s="7">
        <v>2733.92271667055</v>
      </c>
      <c r="Z3" s="7">
        <v>2044.019</v>
      </c>
      <c r="AA3" s="8">
        <v>1.1</v>
      </c>
      <c r="AB3" s="7">
        <v>15.4</v>
      </c>
      <c r="AC3" s="4" t="s">
        <v>24</v>
      </c>
      <c r="AD3" s="7">
        <v>3562.09372806282</v>
      </c>
      <c r="AE3" s="7">
        <v>2711.064</v>
      </c>
      <c r="AF3" s="8">
        <v>1.1</v>
      </c>
      <c r="AG3" s="7">
        <v>15.4</v>
      </c>
      <c r="AH3" s="4" t="s">
        <v>24</v>
      </c>
      <c r="AI3" s="7">
        <v>4740.294</v>
      </c>
      <c r="AJ3" s="7">
        <v>3533.762595798</v>
      </c>
      <c r="AK3" s="8">
        <v>1.1</v>
      </c>
      <c r="AL3" s="7">
        <v>15.4</v>
      </c>
      <c r="AM3" s="4" t="s">
        <v>24</v>
      </c>
      <c r="AN3" s="7">
        <v>5193.635469341619</v>
      </c>
      <c r="AO3" s="7">
        <v>4322.631</v>
      </c>
      <c r="AP3" s="8">
        <v>1.1</v>
      </c>
      <c r="AQ3" s="7">
        <v>15.4</v>
      </c>
      <c r="AR3" s="4" t="s">
        <v>24</v>
      </c>
      <c r="AS3" s="7">
        <v>5980.478661550079</v>
      </c>
      <c r="AT3" s="7"/>
      <c r="AU3" s="8"/>
      <c r="AV3" s="7"/>
      <c r="AW3" s="4" t="s">
        <v>39</v>
      </c>
      <c r="AX3" s="7">
        <v>6820.264228441848</v>
      </c>
      <c r="AY3" s="7"/>
      <c r="AZ3" s="8"/>
      <c r="BA3" s="7"/>
      <c r="BB3" s="4" t="s">
        <v>39</v>
      </c>
      <c r="BC3" s="7">
        <v>7670.833758458313</v>
      </c>
      <c r="BD3" s="7"/>
      <c r="BE3" s="8"/>
      <c r="BF3" s="7"/>
      <c r="BG3" s="4" t="s">
        <v>39</v>
      </c>
      <c r="BH3" s="7">
        <v>8324.791991597234</v>
      </c>
      <c r="BI3" s="7"/>
      <c r="BJ3" s="8"/>
      <c r="BK3" s="7"/>
      <c r="BL3" s="4" t="s">
        <v>39</v>
      </c>
      <c r="BM3" s="7">
        <v>8856.162</v>
      </c>
      <c r="BN3" s="7"/>
      <c r="BO3" s="8"/>
      <c r="BP3" s="7"/>
      <c r="BQ3" s="4" t="s">
        <v>39</v>
      </c>
    </row>
    <row r="4">
      <c r="A4" s="4">
        <v>2026.0</v>
      </c>
      <c r="B4" s="4"/>
      <c r="C4" s="4" t="s">
        <v>173</v>
      </c>
      <c r="D4" s="4" t="s">
        <v>171</v>
      </c>
      <c r="E4" s="7">
        <v>6.0</v>
      </c>
      <c r="F4" s="7">
        <v>283.175251229</v>
      </c>
      <c r="G4" s="4" t="s">
        <v>172</v>
      </c>
      <c r="H4" s="4" t="s">
        <v>161</v>
      </c>
      <c r="I4" s="4">
        <v>17.0</v>
      </c>
      <c r="J4" s="7">
        <v>22.654020098</v>
      </c>
      <c r="K4" s="7"/>
      <c r="L4" s="8"/>
      <c r="M4" s="7"/>
      <c r="N4" s="4" t="s">
        <v>39</v>
      </c>
      <c r="O4" s="7">
        <v>42.476287684</v>
      </c>
      <c r="P4" s="7"/>
      <c r="Q4" s="8"/>
      <c r="R4" s="7"/>
      <c r="S4" s="4" t="s">
        <v>39</v>
      </c>
      <c r="T4" s="7">
        <v>67.962060295</v>
      </c>
      <c r="U4" s="7"/>
      <c r="V4" s="8"/>
      <c r="W4" s="7"/>
      <c r="X4" s="4" t="s">
        <v>39</v>
      </c>
      <c r="Y4" s="7">
        <v>87.784327881</v>
      </c>
      <c r="Z4" s="7">
        <v>87.585027032</v>
      </c>
      <c r="AA4" s="8">
        <v>1.002270346584759</v>
      </c>
      <c r="AB4" s="7">
        <v>6.013622079508554</v>
      </c>
      <c r="AC4" s="4" t="s">
        <v>24</v>
      </c>
      <c r="AD4" s="7">
        <v>113.270100492</v>
      </c>
      <c r="AE4" s="7">
        <v>105.816935411</v>
      </c>
      <c r="AF4" s="8">
        <v>1.065799933509606</v>
      </c>
      <c r="AG4" s="7">
        <v>6.394799601057636</v>
      </c>
      <c r="AH4" s="4" t="s">
        <v>24</v>
      </c>
      <c r="AI4" s="7">
        <v>451.040551784</v>
      </c>
      <c r="AJ4" s="7">
        <v>291.035274348</v>
      </c>
      <c r="AK4" s="8">
        <v>1.1</v>
      </c>
      <c r="AL4" s="7">
        <v>6.600000000000001</v>
      </c>
      <c r="AM4" s="4" t="s">
        <v>24</v>
      </c>
      <c r="AN4" s="7">
        <v>517.212012742</v>
      </c>
      <c r="AO4" s="7">
        <v>339.560275798</v>
      </c>
      <c r="AP4" s="8">
        <v>1.1</v>
      </c>
      <c r="AQ4" s="7">
        <v>6.600000000000001</v>
      </c>
      <c r="AR4" s="4" t="s">
        <v>24</v>
      </c>
      <c r="AS4" s="7">
        <v>192.559170836</v>
      </c>
      <c r="AT4" s="7"/>
      <c r="AU4" s="8"/>
      <c r="AV4" s="7"/>
      <c r="AW4" s="4" t="s">
        <v>39</v>
      </c>
      <c r="AX4" s="7">
        <v>218.044943447</v>
      </c>
      <c r="AY4" s="7"/>
      <c r="AZ4" s="8"/>
      <c r="BA4" s="7"/>
      <c r="BB4" s="4" t="s">
        <v>39</v>
      </c>
      <c r="BC4" s="7">
        <v>246.36246857</v>
      </c>
      <c r="BD4" s="7"/>
      <c r="BE4" s="8"/>
      <c r="BF4" s="7"/>
      <c r="BG4" s="4" t="s">
        <v>39</v>
      </c>
      <c r="BH4" s="7">
        <v>266.184736156</v>
      </c>
      <c r="BI4" s="7"/>
      <c r="BJ4" s="8"/>
      <c r="BK4" s="7"/>
      <c r="BL4" s="4" t="s">
        <v>39</v>
      </c>
      <c r="BM4" s="7">
        <v>283.175251229</v>
      </c>
      <c r="BN4" s="7"/>
      <c r="BO4" s="8"/>
      <c r="BP4" s="7"/>
      <c r="BQ4" s="4" t="s">
        <v>39</v>
      </c>
    </row>
    <row r="5">
      <c r="A5" s="4">
        <v>2026.0</v>
      </c>
      <c r="B5" s="4">
        <v>2.0</v>
      </c>
      <c r="C5" s="4" t="s">
        <v>174</v>
      </c>
      <c r="D5" s="4" t="s">
        <v>171</v>
      </c>
      <c r="E5" s="7">
        <v>12.0</v>
      </c>
      <c r="F5" s="7">
        <v>147.7373004</v>
      </c>
      <c r="G5" s="4" t="s">
        <v>159</v>
      </c>
      <c r="H5" s="4" t="s">
        <v>161</v>
      </c>
      <c r="I5" s="4">
        <v>18.0</v>
      </c>
      <c r="J5" s="7">
        <v>5.9094728318</v>
      </c>
      <c r="K5" s="7"/>
      <c r="L5" s="8"/>
      <c r="M5" s="7"/>
      <c r="N5" s="4" t="s">
        <v>39</v>
      </c>
      <c r="O5" s="7">
        <v>9.2362515124</v>
      </c>
      <c r="P5" s="7"/>
      <c r="Q5" s="8"/>
      <c r="R5" s="7"/>
      <c r="S5" s="4" t="s">
        <v>39</v>
      </c>
      <c r="T5" s="7">
        <v>11.8189627951</v>
      </c>
      <c r="U5" s="7"/>
      <c r="V5" s="8"/>
      <c r="W5" s="7"/>
      <c r="X5" s="4" t="s">
        <v>39</v>
      </c>
      <c r="Y5" s="7">
        <v>48.7532917205</v>
      </c>
      <c r="Z5" s="7">
        <v>126.694787926</v>
      </c>
      <c r="AA5" s="8">
        <v>1.1</v>
      </c>
      <c r="AB5" s="7">
        <v>13.2</v>
      </c>
      <c r="AC5" s="4" t="s">
        <v>24</v>
      </c>
      <c r="AD5" s="7">
        <v>53.92409443343</v>
      </c>
      <c r="AE5" s="7">
        <v>156.244338877</v>
      </c>
      <c r="AF5" s="8">
        <v>1.1</v>
      </c>
      <c r="AG5" s="7">
        <v>13.2</v>
      </c>
      <c r="AH5" s="4" t="s">
        <v>24</v>
      </c>
      <c r="AI5" s="7">
        <v>59.83358625723</v>
      </c>
      <c r="AJ5" s="7">
        <v>91.21166698019</v>
      </c>
      <c r="AK5" s="8">
        <v>1.1</v>
      </c>
      <c r="AL5" s="7">
        <v>13.2</v>
      </c>
      <c r="AM5" s="4" t="s">
        <v>24</v>
      </c>
      <c r="AN5" s="7">
        <v>67.95913792653</v>
      </c>
      <c r="AO5" s="7">
        <v>94.90235305</v>
      </c>
      <c r="AP5" s="8">
        <v>1.1</v>
      </c>
      <c r="AQ5" s="7">
        <v>13.2</v>
      </c>
      <c r="AR5" s="4" t="s">
        <v>24</v>
      </c>
      <c r="AS5" s="7">
        <v>79.77812255383</v>
      </c>
      <c r="AT5" s="7"/>
      <c r="AU5" s="8"/>
      <c r="AV5" s="7"/>
      <c r="AW5" s="4" t="s">
        <v>39</v>
      </c>
      <c r="AX5" s="7">
        <v>86.39962423913</v>
      </c>
      <c r="AY5" s="7"/>
      <c r="AZ5" s="8"/>
      <c r="BA5" s="7"/>
      <c r="BB5" s="4" t="s">
        <v>39</v>
      </c>
      <c r="BC5" s="7">
        <v>95.99113836343</v>
      </c>
      <c r="BD5" s="7"/>
      <c r="BE5" s="8"/>
      <c r="BF5" s="7"/>
      <c r="BG5" s="4" t="s">
        <v>39</v>
      </c>
      <c r="BH5" s="7">
        <v>115.77011433653</v>
      </c>
      <c r="BI5" s="7"/>
      <c r="BJ5" s="8"/>
      <c r="BK5" s="7"/>
      <c r="BL5" s="4" t="s">
        <v>39</v>
      </c>
      <c r="BM5" s="7">
        <v>147.7373004</v>
      </c>
      <c r="BN5" s="7"/>
      <c r="BO5" s="8"/>
      <c r="BP5" s="7"/>
      <c r="BQ5" s="4" t="s">
        <v>39</v>
      </c>
    </row>
    <row r="6">
      <c r="A6" s="4">
        <v>2026.0</v>
      </c>
      <c r="B6" s="4">
        <v>3.0</v>
      </c>
      <c r="C6" s="4" t="s">
        <v>175</v>
      </c>
      <c r="D6" s="4"/>
      <c r="E6" s="7">
        <v>12.0</v>
      </c>
      <c r="F6" s="7"/>
      <c r="G6" s="4" t="s">
        <v>159</v>
      </c>
      <c r="H6" s="4" t="s">
        <v>161</v>
      </c>
      <c r="I6" s="4">
        <v>19.0</v>
      </c>
      <c r="J6" s="7"/>
      <c r="K6" s="7"/>
      <c r="L6" s="8"/>
      <c r="M6" s="7"/>
      <c r="N6" s="4" t="s">
        <v>39</v>
      </c>
      <c r="O6" s="7"/>
      <c r="P6" s="7"/>
      <c r="Q6" s="8"/>
      <c r="R6" s="7"/>
      <c r="S6" s="4" t="s">
        <v>39</v>
      </c>
      <c r="T6" s="7"/>
      <c r="U6" s="7"/>
      <c r="V6" s="8"/>
      <c r="W6" s="7"/>
      <c r="X6" s="4" t="s">
        <v>39</v>
      </c>
      <c r="Y6" s="7"/>
      <c r="Z6" s="7"/>
      <c r="AA6" s="8">
        <v>1.085301437600288</v>
      </c>
      <c r="AB6" s="7">
        <v>13.02361725120346</v>
      </c>
      <c r="AC6" s="4" t="s">
        <v>24</v>
      </c>
      <c r="AD6" s="7"/>
      <c r="AE6" s="7"/>
      <c r="AF6" s="8">
        <v>1.085301437600288</v>
      </c>
      <c r="AG6" s="7">
        <v>13.02361725120346</v>
      </c>
      <c r="AH6" s="4" t="s">
        <v>24</v>
      </c>
      <c r="AI6" s="7"/>
      <c r="AJ6" s="7"/>
      <c r="AK6" s="8">
        <v>1.085301437600288</v>
      </c>
      <c r="AL6" s="7">
        <v>13.02361725120346</v>
      </c>
      <c r="AM6" s="4" t="s">
        <v>24</v>
      </c>
      <c r="AN6" s="7"/>
      <c r="AO6" s="7"/>
      <c r="AP6" s="8">
        <v>1.059824909062246</v>
      </c>
      <c r="AQ6" s="7">
        <v>12.71789890874695</v>
      </c>
      <c r="AR6" s="4" t="s">
        <v>24</v>
      </c>
      <c r="AS6" s="7"/>
      <c r="AT6" s="7"/>
      <c r="AU6" s="8"/>
      <c r="AV6" s="7"/>
      <c r="AW6" s="4" t="s">
        <v>39</v>
      </c>
      <c r="AX6" s="7"/>
      <c r="AY6" s="7"/>
      <c r="AZ6" s="8"/>
      <c r="BA6" s="7"/>
      <c r="BB6" s="4" t="s">
        <v>39</v>
      </c>
      <c r="BC6" s="7"/>
      <c r="BD6" s="7"/>
      <c r="BE6" s="8"/>
      <c r="BF6" s="7"/>
      <c r="BG6" s="4" t="s">
        <v>39</v>
      </c>
      <c r="BH6" s="7"/>
      <c r="BI6" s="7"/>
      <c r="BJ6" s="8"/>
      <c r="BK6" s="7"/>
      <c r="BL6" s="4" t="s">
        <v>39</v>
      </c>
      <c r="BM6" s="7"/>
      <c r="BN6" s="7"/>
      <c r="BO6" s="8"/>
      <c r="BP6" s="7"/>
      <c r="BQ6" s="4" t="s">
        <v>39</v>
      </c>
    </row>
    <row r="7">
      <c r="A7" s="4">
        <v>2026.0</v>
      </c>
      <c r="B7" s="4"/>
      <c r="C7" s="4" t="s">
        <v>176</v>
      </c>
      <c r="D7" s="4" t="s">
        <v>177</v>
      </c>
      <c r="E7" s="7"/>
      <c r="F7" s="7">
        <v>93.96</v>
      </c>
      <c r="G7" s="4" t="s">
        <v>172</v>
      </c>
      <c r="H7" s="4" t="s">
        <v>161</v>
      </c>
      <c r="I7" s="4">
        <v>20.0</v>
      </c>
      <c r="J7" s="7">
        <v>93.96</v>
      </c>
      <c r="K7" s="7"/>
      <c r="L7" s="8"/>
      <c r="M7" s="7"/>
      <c r="N7" s="4" t="s">
        <v>39</v>
      </c>
      <c r="O7" s="7">
        <v>93.96</v>
      </c>
      <c r="P7" s="7"/>
      <c r="Q7" s="8"/>
      <c r="R7" s="7"/>
      <c r="S7" s="4" t="s">
        <v>39</v>
      </c>
      <c r="T7" s="7">
        <v>93.96</v>
      </c>
      <c r="U7" s="7"/>
      <c r="V7" s="8"/>
      <c r="W7" s="7"/>
      <c r="X7" s="4" t="s">
        <v>39</v>
      </c>
      <c r="Y7" s="7">
        <v>93.96</v>
      </c>
      <c r="Z7" s="7">
        <v>100.0</v>
      </c>
      <c r="AA7" s="8">
        <v>1.064282673478076</v>
      </c>
      <c r="AB7" s="7"/>
      <c r="AC7" s="4" t="s">
        <v>24</v>
      </c>
      <c r="AD7" s="7">
        <v>93.96</v>
      </c>
      <c r="AE7" s="7">
        <v>100.0</v>
      </c>
      <c r="AF7" s="8">
        <v>1.064282673478076</v>
      </c>
      <c r="AG7" s="7"/>
      <c r="AH7" s="4" t="s">
        <v>24</v>
      </c>
      <c r="AI7" s="7">
        <v>93.96</v>
      </c>
      <c r="AJ7" s="7">
        <v>100.0</v>
      </c>
      <c r="AK7" s="8">
        <v>1.064282673478076</v>
      </c>
      <c r="AL7" s="7"/>
      <c r="AM7" s="4" t="s">
        <v>24</v>
      </c>
      <c r="AN7" s="7">
        <v>93.96</v>
      </c>
      <c r="AO7" s="7">
        <v>95.74</v>
      </c>
      <c r="AP7" s="8">
        <v>1.01894423158791</v>
      </c>
      <c r="AQ7" s="7"/>
      <c r="AR7" s="4" t="s">
        <v>24</v>
      </c>
      <c r="AS7" s="7">
        <v>93.96</v>
      </c>
      <c r="AT7" s="7"/>
      <c r="AU7" s="8"/>
      <c r="AV7" s="7"/>
      <c r="AW7" s="4" t="s">
        <v>39</v>
      </c>
      <c r="AX7" s="7">
        <v>93.96</v>
      </c>
      <c r="AY7" s="7"/>
      <c r="AZ7" s="8"/>
      <c r="BA7" s="7"/>
      <c r="BB7" s="4" t="s">
        <v>39</v>
      </c>
      <c r="BC7" s="7">
        <v>93.96</v>
      </c>
      <c r="BD7" s="7"/>
      <c r="BE7" s="8"/>
      <c r="BF7" s="7"/>
      <c r="BG7" s="4" t="s">
        <v>39</v>
      </c>
      <c r="BH7" s="7">
        <v>93.96</v>
      </c>
      <c r="BI7" s="7"/>
      <c r="BJ7" s="8"/>
      <c r="BK7" s="7"/>
      <c r="BL7" s="4" t="s">
        <v>39</v>
      </c>
      <c r="BM7" s="7">
        <v>93.96</v>
      </c>
      <c r="BN7" s="7"/>
      <c r="BO7" s="8"/>
      <c r="BP7" s="7"/>
      <c r="BQ7" s="4" t="s">
        <v>39</v>
      </c>
    </row>
    <row r="8">
      <c r="A8" s="4">
        <v>2026.0</v>
      </c>
      <c r="B8" s="4"/>
      <c r="C8" s="4" t="s">
        <v>178</v>
      </c>
      <c r="D8" s="4" t="s">
        <v>177</v>
      </c>
      <c r="E8" s="7"/>
      <c r="F8" s="7">
        <v>85.19</v>
      </c>
      <c r="G8" s="4" t="s">
        <v>172</v>
      </c>
      <c r="H8" s="4" t="s">
        <v>161</v>
      </c>
      <c r="I8" s="4">
        <v>21.0</v>
      </c>
      <c r="J8" s="7">
        <v>85.19</v>
      </c>
      <c r="K8" s="7"/>
      <c r="L8" s="8"/>
      <c r="M8" s="7"/>
      <c r="N8" s="4" t="s">
        <v>39</v>
      </c>
      <c r="O8" s="7">
        <v>85.19</v>
      </c>
      <c r="P8" s="7"/>
      <c r="Q8" s="8"/>
      <c r="R8" s="7"/>
      <c r="S8" s="4" t="s">
        <v>39</v>
      </c>
      <c r="T8" s="7">
        <v>85.19</v>
      </c>
      <c r="U8" s="7"/>
      <c r="V8" s="8"/>
      <c r="W8" s="7"/>
      <c r="X8" s="4" t="s">
        <v>39</v>
      </c>
      <c r="Y8" s="7">
        <v>85.19</v>
      </c>
      <c r="Z8" s="7">
        <v>100.0</v>
      </c>
      <c r="AA8" s="8">
        <v>1.1</v>
      </c>
      <c r="AB8" s="7"/>
      <c r="AC8" s="4" t="s">
        <v>24</v>
      </c>
      <c r="AD8" s="7">
        <v>85.19</v>
      </c>
      <c r="AE8" s="7">
        <v>100.0</v>
      </c>
      <c r="AF8" s="8">
        <v>1.1</v>
      </c>
      <c r="AG8" s="7"/>
      <c r="AH8" s="4" t="s">
        <v>24</v>
      </c>
      <c r="AI8" s="7">
        <v>85.19</v>
      </c>
      <c r="AJ8" s="7">
        <v>100.0</v>
      </c>
      <c r="AK8" s="8">
        <v>1.1</v>
      </c>
      <c r="AL8" s="7"/>
      <c r="AM8" s="4" t="s">
        <v>24</v>
      </c>
      <c r="AN8" s="7">
        <v>85.19</v>
      </c>
      <c r="AO8" s="7">
        <v>88.89</v>
      </c>
      <c r="AP8" s="8">
        <v>1.043432327737998</v>
      </c>
      <c r="AQ8" s="7"/>
      <c r="AR8" s="4" t="s">
        <v>24</v>
      </c>
      <c r="AS8" s="7">
        <v>85.19</v>
      </c>
      <c r="AT8" s="7"/>
      <c r="AU8" s="8"/>
      <c r="AV8" s="7"/>
      <c r="AW8" s="4" t="s">
        <v>39</v>
      </c>
      <c r="AX8" s="7">
        <v>85.19</v>
      </c>
      <c r="AY8" s="7"/>
      <c r="AZ8" s="8"/>
      <c r="BA8" s="7"/>
      <c r="BB8" s="4" t="s">
        <v>39</v>
      </c>
      <c r="BC8" s="7">
        <v>85.19</v>
      </c>
      <c r="BD8" s="7"/>
      <c r="BE8" s="8"/>
      <c r="BF8" s="7"/>
      <c r="BG8" s="4" t="s">
        <v>39</v>
      </c>
      <c r="BH8" s="7">
        <v>85.19</v>
      </c>
      <c r="BI8" s="7"/>
      <c r="BJ8" s="8"/>
      <c r="BK8" s="7"/>
      <c r="BL8" s="4" t="s">
        <v>39</v>
      </c>
      <c r="BM8" s="7">
        <v>85.19</v>
      </c>
      <c r="BN8" s="7"/>
      <c r="BO8" s="8"/>
      <c r="BP8" s="7"/>
      <c r="BQ8" s="4" t="s">
        <v>39</v>
      </c>
    </row>
    <row r="9">
      <c r="A9" s="4">
        <v>2026.0</v>
      </c>
      <c r="B9" s="4"/>
      <c r="C9" s="4" t="s">
        <v>179</v>
      </c>
      <c r="D9" s="4" t="s">
        <v>177</v>
      </c>
      <c r="E9" s="7"/>
      <c r="F9" s="7">
        <v>92.85714285714286</v>
      </c>
      <c r="G9" s="4" t="s">
        <v>172</v>
      </c>
      <c r="H9" s="4" t="s">
        <v>161</v>
      </c>
      <c r="I9" s="4">
        <v>22.0</v>
      </c>
      <c r="J9" s="7">
        <v>92.85714285714286</v>
      </c>
      <c r="K9" s="7"/>
      <c r="L9" s="8"/>
      <c r="M9" s="7"/>
      <c r="N9" s="4" t="s">
        <v>39</v>
      </c>
      <c r="O9" s="7">
        <v>92.85714285714286</v>
      </c>
      <c r="P9" s="7"/>
      <c r="Q9" s="8"/>
      <c r="R9" s="7"/>
      <c r="S9" s="4" t="s">
        <v>39</v>
      </c>
      <c r="T9" s="7">
        <v>92.85714285714286</v>
      </c>
      <c r="U9" s="7"/>
      <c r="V9" s="8"/>
      <c r="W9" s="7"/>
      <c r="X9" s="4" t="s">
        <v>39</v>
      </c>
      <c r="Y9" s="7">
        <v>92.85714285714286</v>
      </c>
      <c r="Z9" s="7">
        <v>100.0</v>
      </c>
      <c r="AA9" s="8">
        <v>1.076923076923077</v>
      </c>
      <c r="AB9" s="7"/>
      <c r="AC9" s="4" t="s">
        <v>24</v>
      </c>
      <c r="AD9" s="7">
        <v>92.85714285714286</v>
      </c>
      <c r="AE9" s="7">
        <v>100.0</v>
      </c>
      <c r="AF9" s="8">
        <v>1.076923076923077</v>
      </c>
      <c r="AG9" s="7"/>
      <c r="AH9" s="4" t="s">
        <v>24</v>
      </c>
      <c r="AI9" s="7">
        <v>92.85714285714286</v>
      </c>
      <c r="AJ9" s="7">
        <v>100.0</v>
      </c>
      <c r="AK9" s="8">
        <v>1.076923076923077</v>
      </c>
      <c r="AL9" s="7"/>
      <c r="AM9" s="4" t="s">
        <v>24</v>
      </c>
      <c r="AN9" s="7">
        <v>92.85714285714286</v>
      </c>
      <c r="AO9" s="7">
        <v>100.0</v>
      </c>
      <c r="AP9" s="8">
        <v>1.076923076923077</v>
      </c>
      <c r="AQ9" s="7"/>
      <c r="AR9" s="4" t="s">
        <v>24</v>
      </c>
      <c r="AS9" s="7">
        <v>92.85714285714286</v>
      </c>
      <c r="AT9" s="7"/>
      <c r="AU9" s="8"/>
      <c r="AV9" s="7"/>
      <c r="AW9" s="4" t="s">
        <v>39</v>
      </c>
      <c r="AX9" s="7">
        <v>92.85714285714286</v>
      </c>
      <c r="AY9" s="7"/>
      <c r="AZ9" s="8"/>
      <c r="BA9" s="7"/>
      <c r="BB9" s="4" t="s">
        <v>39</v>
      </c>
      <c r="BC9" s="7">
        <v>92.85714285714286</v>
      </c>
      <c r="BD9" s="7"/>
      <c r="BE9" s="8"/>
      <c r="BF9" s="7"/>
      <c r="BG9" s="4" t="s">
        <v>39</v>
      </c>
      <c r="BH9" s="7">
        <v>92.85714285714286</v>
      </c>
      <c r="BI9" s="7"/>
      <c r="BJ9" s="8"/>
      <c r="BK9" s="7"/>
      <c r="BL9" s="4" t="s">
        <v>39</v>
      </c>
      <c r="BM9" s="7">
        <v>92.85714285714286</v>
      </c>
      <c r="BN9" s="7"/>
      <c r="BO9" s="8"/>
      <c r="BP9" s="7"/>
      <c r="BQ9" s="4" t="s">
        <v>39</v>
      </c>
    </row>
    <row r="10">
      <c r="A10" s="4">
        <v>2026.0</v>
      </c>
      <c r="B10" s="4"/>
      <c r="C10" s="4" t="s">
        <v>183</v>
      </c>
      <c r="D10" s="4" t="s">
        <v>177</v>
      </c>
      <c r="E10" s="7"/>
      <c r="F10" s="7">
        <v>83.33333333333334</v>
      </c>
      <c r="G10" s="4" t="s">
        <v>172</v>
      </c>
      <c r="H10" s="4" t="s">
        <v>161</v>
      </c>
      <c r="I10" s="4">
        <v>23.0</v>
      </c>
      <c r="J10" s="7">
        <v>83.33333333333334</v>
      </c>
      <c r="K10" s="7"/>
      <c r="L10" s="8"/>
      <c r="M10" s="7"/>
      <c r="N10" s="4" t="s">
        <v>39</v>
      </c>
      <c r="O10" s="7">
        <v>83.33333333333334</v>
      </c>
      <c r="P10" s="7"/>
      <c r="Q10" s="8"/>
      <c r="R10" s="7"/>
      <c r="S10" s="4" t="s">
        <v>39</v>
      </c>
      <c r="T10" s="7">
        <v>83.33333333333334</v>
      </c>
      <c r="U10" s="7"/>
      <c r="V10" s="8"/>
      <c r="W10" s="7"/>
      <c r="X10" s="4" t="s">
        <v>39</v>
      </c>
      <c r="Y10" s="7">
        <v>83.33333333333334</v>
      </c>
      <c r="Z10" s="7">
        <v>100.0</v>
      </c>
      <c r="AA10" s="8">
        <v>1.1</v>
      </c>
      <c r="AB10" s="7"/>
      <c r="AC10" s="4" t="s">
        <v>24</v>
      </c>
      <c r="AD10" s="7">
        <v>83.33333333333334</v>
      </c>
      <c r="AE10" s="7">
        <v>100.0</v>
      </c>
      <c r="AF10" s="8">
        <v>1.1</v>
      </c>
      <c r="AG10" s="7"/>
      <c r="AH10" s="4" t="s">
        <v>24</v>
      </c>
      <c r="AI10" s="7">
        <v>83.33333333333334</v>
      </c>
      <c r="AJ10" s="7">
        <v>100.0</v>
      </c>
      <c r="AK10" s="8">
        <v>1.1</v>
      </c>
      <c r="AL10" s="7"/>
      <c r="AM10" s="4" t="s">
        <v>24</v>
      </c>
      <c r="AN10" s="7">
        <v>83.33333333333334</v>
      </c>
      <c r="AO10" s="7">
        <v>100.0</v>
      </c>
      <c r="AP10" s="8">
        <v>1.1</v>
      </c>
      <c r="AQ10" s="7"/>
      <c r="AR10" s="4" t="s">
        <v>24</v>
      </c>
      <c r="AS10" s="7">
        <v>83.33333333333334</v>
      </c>
      <c r="AT10" s="7"/>
      <c r="AU10" s="8"/>
      <c r="AV10" s="7"/>
      <c r="AW10" s="4" t="s">
        <v>39</v>
      </c>
      <c r="AX10" s="7">
        <v>83.33333333333334</v>
      </c>
      <c r="AY10" s="7"/>
      <c r="AZ10" s="8"/>
      <c r="BA10" s="7"/>
      <c r="BB10" s="4" t="s">
        <v>39</v>
      </c>
      <c r="BC10" s="7">
        <v>83.33333333333334</v>
      </c>
      <c r="BD10" s="7"/>
      <c r="BE10" s="8"/>
      <c r="BF10" s="7"/>
      <c r="BG10" s="4" t="s">
        <v>39</v>
      </c>
      <c r="BH10" s="7">
        <v>83.33333333333334</v>
      </c>
      <c r="BI10" s="7"/>
      <c r="BJ10" s="8"/>
      <c r="BK10" s="7"/>
      <c r="BL10" s="4" t="s">
        <v>39</v>
      </c>
      <c r="BM10" s="7">
        <v>83.33333333333334</v>
      </c>
      <c r="BN10" s="7"/>
      <c r="BO10" s="8"/>
      <c r="BP10" s="7"/>
      <c r="BQ10" s="4" t="s">
        <v>39</v>
      </c>
    </row>
    <row r="11">
      <c r="A11" s="4">
        <v>2026.0</v>
      </c>
      <c r="B11" s="4">
        <v>4.0</v>
      </c>
      <c r="C11" s="4" t="s">
        <v>190</v>
      </c>
      <c r="D11" s="4"/>
      <c r="E11" s="7">
        <v>12.0</v>
      </c>
      <c r="F11" s="7"/>
      <c r="G11" s="4" t="s">
        <v>159</v>
      </c>
      <c r="H11" s="4" t="s">
        <v>161</v>
      </c>
      <c r="I11" s="4">
        <v>24.0</v>
      </c>
      <c r="J11" s="7"/>
      <c r="K11" s="7"/>
      <c r="L11" s="8"/>
      <c r="M11" s="7"/>
      <c r="N11" s="4" t="s">
        <v>39</v>
      </c>
      <c r="O11" s="7"/>
      <c r="P11" s="7"/>
      <c r="Q11" s="8"/>
      <c r="R11" s="7"/>
      <c r="S11" s="4" t="s">
        <v>39</v>
      </c>
      <c r="T11" s="7"/>
      <c r="U11" s="7"/>
      <c r="V11" s="8"/>
      <c r="W11" s="7"/>
      <c r="X11" s="4" t="s">
        <v>39</v>
      </c>
      <c r="Y11" s="7"/>
      <c r="Z11" s="7"/>
      <c r="AA11" s="8">
        <v>1.0</v>
      </c>
      <c r="AB11" s="7">
        <v>12.0</v>
      </c>
      <c r="AC11" s="4" t="s">
        <v>24</v>
      </c>
      <c r="AD11" s="7"/>
      <c r="AE11" s="7"/>
      <c r="AF11" s="8">
        <v>1.0</v>
      </c>
      <c r="AG11" s="7">
        <v>12.0</v>
      </c>
      <c r="AH11" s="4" t="s">
        <v>24</v>
      </c>
      <c r="AI11" s="7"/>
      <c r="AJ11" s="7"/>
      <c r="AK11" s="8"/>
      <c r="AL11" s="7"/>
      <c r="AM11" s="4" t="s">
        <v>39</v>
      </c>
      <c r="AN11" s="7"/>
      <c r="AO11" s="7"/>
      <c r="AP11" s="8">
        <v>1.0023</v>
      </c>
      <c r="AQ11" s="7">
        <v>12.0276</v>
      </c>
      <c r="AR11" s="4" t="s">
        <v>24</v>
      </c>
      <c r="AS11" s="7"/>
      <c r="AT11" s="7"/>
      <c r="AU11" s="8"/>
      <c r="AV11" s="7"/>
      <c r="AW11" s="4" t="s">
        <v>39</v>
      </c>
      <c r="AX11" s="7"/>
      <c r="AY11" s="7"/>
      <c r="AZ11" s="8"/>
      <c r="BA11" s="7"/>
      <c r="BB11" s="4" t="s">
        <v>39</v>
      </c>
      <c r="BC11" s="7"/>
      <c r="BD11" s="7"/>
      <c r="BE11" s="8"/>
      <c r="BF11" s="7"/>
      <c r="BG11" s="4" t="s">
        <v>39</v>
      </c>
      <c r="BH11" s="7"/>
      <c r="BI11" s="7"/>
      <c r="BJ11" s="8"/>
      <c r="BK11" s="7"/>
      <c r="BL11" s="4" t="s">
        <v>39</v>
      </c>
      <c r="BM11" s="7"/>
      <c r="BN11" s="7"/>
      <c r="BO11" s="8"/>
      <c r="BP11" s="7"/>
      <c r="BQ11" s="4" t="s">
        <v>39</v>
      </c>
    </row>
    <row r="12">
      <c r="A12" s="4">
        <v>2026.0</v>
      </c>
      <c r="B12" s="4"/>
      <c r="C12" s="4" t="s">
        <v>191</v>
      </c>
      <c r="D12" s="4" t="s">
        <v>177</v>
      </c>
      <c r="E12" s="7"/>
      <c r="F12" s="7" t="s">
        <v>192</v>
      </c>
      <c r="G12" s="4" t="s">
        <v>172</v>
      </c>
      <c r="H12" s="4" t="s">
        <v>161</v>
      </c>
      <c r="I12" s="4">
        <v>25.0</v>
      </c>
      <c r="J12" s="7" t="s">
        <v>192</v>
      </c>
      <c r="K12" s="7"/>
      <c r="L12" s="8"/>
      <c r="M12" s="7"/>
      <c r="N12" s="4" t="s">
        <v>39</v>
      </c>
      <c r="O12" s="7" t="s">
        <v>192</v>
      </c>
      <c r="P12" s="7"/>
      <c r="Q12" s="8"/>
      <c r="R12" s="7"/>
      <c r="S12" s="4" t="s">
        <v>39</v>
      </c>
      <c r="T12" s="7" t="s">
        <v>192</v>
      </c>
      <c r="U12" s="7"/>
      <c r="V12" s="8"/>
      <c r="W12" s="7"/>
      <c r="X12" s="4" t="s">
        <v>39</v>
      </c>
      <c r="Y12" s="7" t="s">
        <v>192</v>
      </c>
      <c r="Z12" s="7">
        <v>100.0</v>
      </c>
      <c r="AA12" s="8">
        <v>1.0</v>
      </c>
      <c r="AB12" s="7"/>
      <c r="AC12" s="4" t="s">
        <v>24</v>
      </c>
      <c r="AD12" s="7" t="s">
        <v>192</v>
      </c>
      <c r="AE12" s="7">
        <v>100.0</v>
      </c>
      <c r="AF12" s="8">
        <v>1.0</v>
      </c>
      <c r="AG12" s="7"/>
      <c r="AH12" s="4" t="s">
        <v>24</v>
      </c>
      <c r="AI12" s="7" t="s">
        <v>192</v>
      </c>
      <c r="AJ12" s="7">
        <v>0.0</v>
      </c>
      <c r="AK12" s="8">
        <v>-0.9000000000000001</v>
      </c>
      <c r="AL12" s="7"/>
      <c r="AM12" s="4" t="s">
        <v>32</v>
      </c>
      <c r="AN12" s="7" t="s">
        <v>192</v>
      </c>
      <c r="AO12" s="7">
        <v>95.23</v>
      </c>
      <c r="AP12" s="8">
        <v>1.0046</v>
      </c>
      <c r="AQ12" s="7"/>
      <c r="AR12" s="4" t="s">
        <v>24</v>
      </c>
      <c r="AS12" s="7" t="s">
        <v>192</v>
      </c>
      <c r="AT12" s="7"/>
      <c r="AU12" s="8"/>
      <c r="AV12" s="7"/>
      <c r="AW12" s="4" t="s">
        <v>39</v>
      </c>
      <c r="AX12" s="7" t="s">
        <v>192</v>
      </c>
      <c r="AY12" s="7"/>
      <c r="AZ12" s="8"/>
      <c r="BA12" s="7"/>
      <c r="BB12" s="4" t="s">
        <v>39</v>
      </c>
      <c r="BC12" s="7" t="s">
        <v>192</v>
      </c>
      <c r="BD12" s="7"/>
      <c r="BE12" s="8"/>
      <c r="BF12" s="7"/>
      <c r="BG12" s="4" t="s">
        <v>39</v>
      </c>
      <c r="BH12" s="7" t="s">
        <v>192</v>
      </c>
      <c r="BI12" s="7"/>
      <c r="BJ12" s="8"/>
      <c r="BK12" s="7"/>
      <c r="BL12" s="4" t="s">
        <v>39</v>
      </c>
      <c r="BM12" s="7" t="s">
        <v>192</v>
      </c>
      <c r="BN12" s="7"/>
      <c r="BO12" s="8"/>
      <c r="BP12" s="7"/>
      <c r="BQ12" s="4" t="s">
        <v>39</v>
      </c>
    </row>
    <row r="13">
      <c r="A13" s="4">
        <v>2026.0</v>
      </c>
      <c r="B13" s="4"/>
      <c r="C13" s="4" t="s">
        <v>193</v>
      </c>
      <c r="D13" s="4" t="s">
        <v>194</v>
      </c>
      <c r="E13" s="7"/>
      <c r="F13" s="7" t="s">
        <v>195</v>
      </c>
      <c r="G13" s="4" t="s">
        <v>172</v>
      </c>
      <c r="H13" s="4" t="s">
        <v>161</v>
      </c>
      <c r="I13" s="4">
        <v>26.0</v>
      </c>
      <c r="J13" s="7" t="s">
        <v>196</v>
      </c>
      <c r="K13" s="7"/>
      <c r="L13" s="8"/>
      <c r="M13" s="7"/>
      <c r="N13" s="4" t="s">
        <v>39</v>
      </c>
      <c r="O13" s="7" t="s">
        <v>196</v>
      </c>
      <c r="P13" s="7"/>
      <c r="Q13" s="8"/>
      <c r="R13" s="7"/>
      <c r="S13" s="4" t="s">
        <v>39</v>
      </c>
      <c r="T13" s="7" t="s">
        <v>196</v>
      </c>
      <c r="U13" s="7"/>
      <c r="V13" s="8"/>
      <c r="W13" s="7"/>
      <c r="X13" s="4" t="s">
        <v>39</v>
      </c>
      <c r="Y13" s="7" t="s">
        <v>196</v>
      </c>
      <c r="Z13" s="7" t="s">
        <v>196</v>
      </c>
      <c r="AA13" s="8">
        <v>1.0</v>
      </c>
      <c r="AB13" s="7"/>
      <c r="AC13" s="4" t="s">
        <v>24</v>
      </c>
      <c r="AD13" s="7" t="s">
        <v>197</v>
      </c>
      <c r="AE13" s="7" t="s">
        <v>197</v>
      </c>
      <c r="AF13" s="8">
        <v>1.0</v>
      </c>
      <c r="AG13" s="7"/>
      <c r="AH13" s="4" t="s">
        <v>24</v>
      </c>
      <c r="AI13" s="7">
        <v>46203.0</v>
      </c>
      <c r="AJ13" s="7">
        <v>46172.0</v>
      </c>
      <c r="AK13" s="8"/>
      <c r="AL13" s="7"/>
      <c r="AM13" s="4" t="s">
        <v>39</v>
      </c>
      <c r="AN13" s="7" t="s">
        <v>196</v>
      </c>
      <c r="AO13" s="7" t="s">
        <v>196</v>
      </c>
      <c r="AP13" s="8">
        <v>1.0</v>
      </c>
      <c r="AQ13" s="7"/>
      <c r="AR13" s="4" t="s">
        <v>24</v>
      </c>
      <c r="AS13" s="7" t="s">
        <v>196</v>
      </c>
      <c r="AT13" s="7"/>
      <c r="AU13" s="8"/>
      <c r="AV13" s="7"/>
      <c r="AW13" s="4" t="s">
        <v>39</v>
      </c>
      <c r="AX13" s="7" t="s">
        <v>196</v>
      </c>
      <c r="AY13" s="7"/>
      <c r="AZ13" s="8"/>
      <c r="BA13" s="7"/>
      <c r="BB13" s="4" t="s">
        <v>39</v>
      </c>
      <c r="BC13" s="7" t="s">
        <v>196</v>
      </c>
      <c r="BD13" s="7"/>
      <c r="BE13" s="8"/>
      <c r="BF13" s="7"/>
      <c r="BG13" s="4" t="s">
        <v>39</v>
      </c>
      <c r="BH13" s="7" t="s">
        <v>198</v>
      </c>
      <c r="BI13" s="7"/>
      <c r="BJ13" s="8"/>
      <c r="BK13" s="7"/>
      <c r="BL13" s="4" t="s">
        <v>39</v>
      </c>
      <c r="BM13" s="7" t="s">
        <v>199</v>
      </c>
      <c r="BN13" s="7"/>
      <c r="BO13" s="8"/>
      <c r="BP13" s="7"/>
      <c r="BQ13" s="4" t="s">
        <v>39</v>
      </c>
    </row>
    <row r="14">
      <c r="A14" s="4">
        <v>2026.0</v>
      </c>
      <c r="B14" s="4">
        <v>5.0</v>
      </c>
      <c r="C14" s="4" t="s">
        <v>200</v>
      </c>
      <c r="D14" s="4" t="s">
        <v>194</v>
      </c>
      <c r="E14" s="7">
        <v>12.0</v>
      </c>
      <c r="F14" s="7" t="s">
        <v>195</v>
      </c>
      <c r="G14" s="4" t="s">
        <v>159</v>
      </c>
      <c r="H14" s="4" t="s">
        <v>161</v>
      </c>
      <c r="I14" s="4">
        <v>27.0</v>
      </c>
      <c r="J14" s="7" t="s">
        <v>201</v>
      </c>
      <c r="K14" s="7"/>
      <c r="L14" s="8"/>
      <c r="M14" s="7"/>
      <c r="N14" s="4" t="s">
        <v>39</v>
      </c>
      <c r="O14" s="7" t="s">
        <v>201</v>
      </c>
      <c r="P14" s="7"/>
      <c r="Q14" s="8"/>
      <c r="R14" s="7"/>
      <c r="S14" s="4" t="s">
        <v>39</v>
      </c>
      <c r="T14" s="7" t="s">
        <v>201</v>
      </c>
      <c r="U14" s="7"/>
      <c r="V14" s="8"/>
      <c r="W14" s="7"/>
      <c r="X14" s="4" t="s">
        <v>39</v>
      </c>
      <c r="Y14" s="7" t="s">
        <v>202</v>
      </c>
      <c r="Z14" s="7" t="s">
        <v>202</v>
      </c>
      <c r="AA14" s="8">
        <v>1.0</v>
      </c>
      <c r="AB14" s="7">
        <v>12.0</v>
      </c>
      <c r="AC14" s="4" t="s">
        <v>24</v>
      </c>
      <c r="AD14" s="7" t="s">
        <v>203</v>
      </c>
      <c r="AE14" s="7" t="s">
        <v>203</v>
      </c>
      <c r="AF14" s="8">
        <v>1.0</v>
      </c>
      <c r="AG14" s="7">
        <v>12.0</v>
      </c>
      <c r="AH14" s="4" t="s">
        <v>24</v>
      </c>
      <c r="AI14" s="7">
        <v>46203.0</v>
      </c>
      <c r="AJ14" s="7">
        <v>46139.0</v>
      </c>
      <c r="AK14" s="8"/>
      <c r="AL14" s="7"/>
      <c r="AM14" s="4" t="s">
        <v>39</v>
      </c>
      <c r="AN14" s="7" t="s">
        <v>204</v>
      </c>
      <c r="AO14" s="7" t="s">
        <v>204</v>
      </c>
      <c r="AP14" s="8">
        <v>1.0</v>
      </c>
      <c r="AQ14" s="7">
        <v>12.0</v>
      </c>
      <c r="AR14" s="4" t="s">
        <v>24</v>
      </c>
      <c r="AS14" s="7" t="s">
        <v>204</v>
      </c>
      <c r="AT14" s="7"/>
      <c r="AU14" s="8"/>
      <c r="AV14" s="7"/>
      <c r="AW14" s="4" t="s">
        <v>39</v>
      </c>
      <c r="AX14" s="7" t="s">
        <v>204</v>
      </c>
      <c r="AY14" s="7"/>
      <c r="AZ14" s="8"/>
      <c r="BA14" s="7"/>
      <c r="BB14" s="4" t="s">
        <v>39</v>
      </c>
      <c r="BC14" s="7" t="s">
        <v>204</v>
      </c>
      <c r="BD14" s="7"/>
      <c r="BE14" s="8"/>
      <c r="BF14" s="7"/>
      <c r="BG14" s="4" t="s">
        <v>39</v>
      </c>
      <c r="BH14" s="7" t="s">
        <v>205</v>
      </c>
      <c r="BI14" s="7"/>
      <c r="BJ14" s="8"/>
      <c r="BK14" s="7"/>
      <c r="BL14" s="4" t="s">
        <v>39</v>
      </c>
      <c r="BM14" s="7" t="s">
        <v>206</v>
      </c>
      <c r="BN14" s="7"/>
      <c r="BO14" s="8"/>
      <c r="BP14" s="7"/>
      <c r="BQ14" s="4" t="s">
        <v>39</v>
      </c>
    </row>
    <row r="15">
      <c r="A15" s="4">
        <v>2026.0</v>
      </c>
      <c r="B15" s="4">
        <v>6.0</v>
      </c>
      <c r="C15" s="4" t="s">
        <v>207</v>
      </c>
      <c r="D15" s="4" t="s">
        <v>177</v>
      </c>
      <c r="E15" s="7">
        <v>10.0</v>
      </c>
      <c r="F15" s="7">
        <v>93.92</v>
      </c>
      <c r="G15" s="4" t="s">
        <v>159</v>
      </c>
      <c r="H15" s="4" t="s">
        <v>161</v>
      </c>
      <c r="I15" s="4">
        <v>28.0</v>
      </c>
      <c r="J15" s="7">
        <v>93.92</v>
      </c>
      <c r="K15" s="7"/>
      <c r="L15" s="8"/>
      <c r="M15" s="7"/>
      <c r="N15" s="4" t="s">
        <v>39</v>
      </c>
      <c r="O15" s="7">
        <v>93.92</v>
      </c>
      <c r="P15" s="7"/>
      <c r="Q15" s="8"/>
      <c r="R15" s="7"/>
      <c r="S15" s="4" t="s">
        <v>39</v>
      </c>
      <c r="T15" s="7">
        <v>93.92</v>
      </c>
      <c r="U15" s="7"/>
      <c r="V15" s="8"/>
      <c r="W15" s="7"/>
      <c r="X15" s="4" t="s">
        <v>39</v>
      </c>
      <c r="Y15" s="7">
        <v>93.92</v>
      </c>
      <c r="Z15" s="7">
        <v>94.0</v>
      </c>
      <c r="AA15" s="8">
        <v>1.000851788756388</v>
      </c>
      <c r="AB15" s="7">
        <v>10.00851788756388</v>
      </c>
      <c r="AC15" s="4" t="s">
        <v>24</v>
      </c>
      <c r="AD15" s="7">
        <v>93.92</v>
      </c>
      <c r="AE15" s="7">
        <v>95.0</v>
      </c>
      <c r="AF15" s="8">
        <v>1.011499148211244</v>
      </c>
      <c r="AG15" s="7">
        <v>10.11499148211244</v>
      </c>
      <c r="AH15" s="4" t="s">
        <v>24</v>
      </c>
      <c r="AI15" s="7">
        <v>93.92</v>
      </c>
      <c r="AJ15" s="7">
        <v>93.8</v>
      </c>
      <c r="AK15" s="8">
        <v>0.9987223168654173</v>
      </c>
      <c r="AL15" s="7">
        <v>9.987223168654173</v>
      </c>
      <c r="AM15" s="4" t="s">
        <v>27</v>
      </c>
      <c r="AN15" s="7">
        <v>93.92</v>
      </c>
      <c r="AO15" s="7">
        <v>93.88</v>
      </c>
      <c r="AP15" s="8">
        <v>0.9995741056218057</v>
      </c>
      <c r="AQ15" s="7">
        <v>9.995741056218057</v>
      </c>
      <c r="AR15" s="4" t="s">
        <v>27</v>
      </c>
      <c r="AS15" s="7">
        <v>93.92</v>
      </c>
      <c r="AT15" s="7"/>
      <c r="AU15" s="8"/>
      <c r="AV15" s="7"/>
      <c r="AW15" s="4" t="s">
        <v>39</v>
      </c>
      <c r="AX15" s="7">
        <v>93.92</v>
      </c>
      <c r="AY15" s="7"/>
      <c r="AZ15" s="8"/>
      <c r="BA15" s="7"/>
      <c r="BB15" s="4" t="s">
        <v>39</v>
      </c>
      <c r="BC15" s="7">
        <v>93.92</v>
      </c>
      <c r="BD15" s="7"/>
      <c r="BE15" s="8"/>
      <c r="BF15" s="7"/>
      <c r="BG15" s="4" t="s">
        <v>39</v>
      </c>
      <c r="BH15" s="7">
        <v>93.92</v>
      </c>
      <c r="BI15" s="7"/>
      <c r="BJ15" s="8"/>
      <c r="BK15" s="7"/>
      <c r="BL15" s="4" t="s">
        <v>39</v>
      </c>
      <c r="BM15" s="7">
        <v>93.92</v>
      </c>
      <c r="BN15" s="7"/>
      <c r="BO15" s="8"/>
      <c r="BP15" s="7"/>
      <c r="BQ15" s="4" t="s">
        <v>39</v>
      </c>
    </row>
    <row r="16">
      <c r="A16" s="4">
        <v>2026.0</v>
      </c>
      <c r="B16" s="4">
        <v>7.0</v>
      </c>
      <c r="C16" s="4" t="s">
        <v>208</v>
      </c>
      <c r="D16" s="4" t="s">
        <v>177</v>
      </c>
      <c r="E16" s="7">
        <v>10.0</v>
      </c>
      <c r="F16" s="7">
        <v>95.0</v>
      </c>
      <c r="G16" s="4" t="s">
        <v>159</v>
      </c>
      <c r="H16" s="4" t="s">
        <v>161</v>
      </c>
      <c r="I16" s="4">
        <v>29.0</v>
      </c>
      <c r="J16" s="7" t="s">
        <v>209</v>
      </c>
      <c r="K16" s="7"/>
      <c r="L16" s="8"/>
      <c r="M16" s="7"/>
      <c r="N16" s="4" t="s">
        <v>39</v>
      </c>
      <c r="O16" s="7" t="s">
        <v>209</v>
      </c>
      <c r="P16" s="7"/>
      <c r="Q16" s="8"/>
      <c r="R16" s="7"/>
      <c r="S16" s="4" t="s">
        <v>39</v>
      </c>
      <c r="T16" s="7" t="s">
        <v>209</v>
      </c>
      <c r="U16" s="7"/>
      <c r="V16" s="8"/>
      <c r="W16" s="7"/>
      <c r="X16" s="4" t="s">
        <v>39</v>
      </c>
      <c r="Y16" s="7">
        <v>95.0</v>
      </c>
      <c r="Z16" s="7">
        <v>95.0</v>
      </c>
      <c r="AA16" s="8">
        <v>1.0</v>
      </c>
      <c r="AB16" s="7">
        <v>10.0</v>
      </c>
      <c r="AC16" s="4" t="s">
        <v>24</v>
      </c>
      <c r="AD16" s="7">
        <v>95.0</v>
      </c>
      <c r="AE16" s="7">
        <v>95.0</v>
      </c>
      <c r="AF16" s="8">
        <v>1.0</v>
      </c>
      <c r="AG16" s="7">
        <v>10.0</v>
      </c>
      <c r="AH16" s="4" t="s">
        <v>24</v>
      </c>
      <c r="AI16" s="7">
        <v>95.0</v>
      </c>
      <c r="AJ16" s="7">
        <v>105.61</v>
      </c>
      <c r="AK16" s="8">
        <v>1.1</v>
      </c>
      <c r="AL16" s="7">
        <v>11.0</v>
      </c>
      <c r="AM16" s="4" t="s">
        <v>24</v>
      </c>
      <c r="AN16" s="7">
        <v>95.0</v>
      </c>
      <c r="AO16" s="7">
        <v>95.0</v>
      </c>
      <c r="AP16" s="8">
        <v>1.0</v>
      </c>
      <c r="AQ16" s="7">
        <v>10.0</v>
      </c>
      <c r="AR16" s="4" t="s">
        <v>24</v>
      </c>
      <c r="AS16" s="7">
        <v>95.0</v>
      </c>
      <c r="AT16" s="7"/>
      <c r="AU16" s="8"/>
      <c r="AV16" s="7"/>
      <c r="AW16" s="4" t="s">
        <v>39</v>
      </c>
      <c r="AX16" s="7">
        <v>95.0</v>
      </c>
      <c r="AY16" s="7"/>
      <c r="AZ16" s="8"/>
      <c r="BA16" s="7"/>
      <c r="BB16" s="4" t="s">
        <v>39</v>
      </c>
      <c r="BC16" s="7">
        <v>95.0</v>
      </c>
      <c r="BD16" s="7"/>
      <c r="BE16" s="8"/>
      <c r="BF16" s="7"/>
      <c r="BG16" s="4" t="s">
        <v>39</v>
      </c>
      <c r="BH16" s="7">
        <v>95.0</v>
      </c>
      <c r="BI16" s="7"/>
      <c r="BJ16" s="8"/>
      <c r="BK16" s="7"/>
      <c r="BL16" s="4" t="s">
        <v>39</v>
      </c>
      <c r="BM16" s="7">
        <v>95.0</v>
      </c>
      <c r="BN16" s="7"/>
      <c r="BO16" s="8"/>
      <c r="BP16" s="7"/>
      <c r="BQ16" s="4" t="s">
        <v>39</v>
      </c>
    </row>
    <row r="17">
      <c r="A17" s="4">
        <v>2026.0</v>
      </c>
      <c r="B17" s="4">
        <v>8.0</v>
      </c>
      <c r="C17" s="4" t="s">
        <v>210</v>
      </c>
      <c r="D17" s="4" t="s">
        <v>211</v>
      </c>
      <c r="E17" s="7">
        <v>6.0</v>
      </c>
      <c r="F17" s="7">
        <v>7.0</v>
      </c>
      <c r="G17" s="4" t="s">
        <v>159</v>
      </c>
      <c r="H17" s="4" t="s">
        <v>161</v>
      </c>
      <c r="I17" s="4">
        <v>30.0</v>
      </c>
      <c r="J17" s="7" t="s">
        <v>212</v>
      </c>
      <c r="K17" s="7"/>
      <c r="L17" s="8"/>
      <c r="M17" s="7"/>
      <c r="N17" s="4" t="s">
        <v>39</v>
      </c>
      <c r="O17" s="7" t="s">
        <v>213</v>
      </c>
      <c r="P17" s="7"/>
      <c r="Q17" s="8"/>
      <c r="R17" s="7"/>
      <c r="S17" s="4" t="s">
        <v>39</v>
      </c>
      <c r="T17" s="7" t="s">
        <v>214</v>
      </c>
      <c r="U17" s="7"/>
      <c r="V17" s="8"/>
      <c r="W17" s="7"/>
      <c r="X17" s="4" t="s">
        <v>39</v>
      </c>
      <c r="Y17" s="7" t="s">
        <v>215</v>
      </c>
      <c r="Z17" s="7" t="s">
        <v>215</v>
      </c>
      <c r="AA17" s="8">
        <v>1.0</v>
      </c>
      <c r="AB17" s="7">
        <v>6.0</v>
      </c>
      <c r="AC17" s="4" t="s">
        <v>24</v>
      </c>
      <c r="AD17" s="7" t="s">
        <v>216</v>
      </c>
      <c r="AE17" s="7" t="s">
        <v>216</v>
      </c>
      <c r="AF17" s="8">
        <v>1.0</v>
      </c>
      <c r="AG17" s="7">
        <v>6.0</v>
      </c>
      <c r="AH17" s="4" t="s">
        <v>24</v>
      </c>
      <c r="AI17" s="7">
        <v>46173.0</v>
      </c>
      <c r="AJ17" s="7">
        <v>46163.0</v>
      </c>
      <c r="AK17" s="8">
        <v>1.014285714285714</v>
      </c>
      <c r="AL17" s="7">
        <v>6.085714285714285</v>
      </c>
      <c r="AM17" s="4" t="s">
        <v>24</v>
      </c>
      <c r="AN17" s="7" t="s">
        <v>217</v>
      </c>
      <c r="AO17" s="7" t="s">
        <v>217</v>
      </c>
      <c r="AP17" s="8">
        <v>1.0</v>
      </c>
      <c r="AQ17" s="7">
        <v>6.0</v>
      </c>
      <c r="AR17" s="4" t="s">
        <v>24</v>
      </c>
      <c r="AS17" s="7" t="s">
        <v>217</v>
      </c>
      <c r="AT17" s="7"/>
      <c r="AU17" s="8"/>
      <c r="AV17" s="7"/>
      <c r="AW17" s="4" t="s">
        <v>39</v>
      </c>
      <c r="AX17" s="7" t="s">
        <v>218</v>
      </c>
      <c r="AY17" s="7"/>
      <c r="AZ17" s="8"/>
      <c r="BA17" s="7"/>
      <c r="BB17" s="4" t="s">
        <v>39</v>
      </c>
      <c r="BC17" s="7" t="s">
        <v>218</v>
      </c>
      <c r="BD17" s="7"/>
      <c r="BE17" s="8"/>
      <c r="BF17" s="7"/>
      <c r="BG17" s="4" t="s">
        <v>39</v>
      </c>
      <c r="BH17" s="7" t="s">
        <v>218</v>
      </c>
      <c r="BI17" s="7"/>
      <c r="BJ17" s="8"/>
      <c r="BK17" s="7"/>
      <c r="BL17" s="4" t="s">
        <v>39</v>
      </c>
      <c r="BM17" s="7">
        <v>7.0</v>
      </c>
      <c r="BN17" s="7"/>
      <c r="BO17" s="8"/>
      <c r="BP17" s="7"/>
      <c r="BQ17" s="4" t="s">
        <v>39</v>
      </c>
    </row>
    <row r="18">
      <c r="A18" s="4">
        <v>2026.0</v>
      </c>
      <c r="B18" s="4">
        <v>9.0</v>
      </c>
      <c r="C18" s="4" t="s">
        <v>219</v>
      </c>
      <c r="D18" s="4" t="s">
        <v>177</v>
      </c>
      <c r="E18" s="7">
        <v>6.0</v>
      </c>
      <c r="F18" s="7">
        <v>100.0</v>
      </c>
      <c r="G18" s="4" t="s">
        <v>159</v>
      </c>
      <c r="H18" s="4" t="s">
        <v>161</v>
      </c>
      <c r="I18" s="4">
        <v>31.0</v>
      </c>
      <c r="J18" s="7">
        <v>100.0</v>
      </c>
      <c r="K18" s="7"/>
      <c r="L18" s="8"/>
      <c r="M18" s="7"/>
      <c r="N18" s="4" t="s">
        <v>39</v>
      </c>
      <c r="O18" s="7">
        <v>100.0</v>
      </c>
      <c r="P18" s="7"/>
      <c r="Q18" s="8"/>
      <c r="R18" s="7"/>
      <c r="S18" s="4" t="s">
        <v>39</v>
      </c>
      <c r="T18" s="7">
        <v>100.0</v>
      </c>
      <c r="U18" s="7"/>
      <c r="V18" s="8"/>
      <c r="W18" s="7"/>
      <c r="X18" s="4" t="s">
        <v>39</v>
      </c>
      <c r="Y18" s="7">
        <v>100.0</v>
      </c>
      <c r="Z18" s="7">
        <v>100.0</v>
      </c>
      <c r="AA18" s="8">
        <v>1.0</v>
      </c>
      <c r="AB18" s="7">
        <v>6.0</v>
      </c>
      <c r="AC18" s="4" t="s">
        <v>24</v>
      </c>
      <c r="AD18" s="7">
        <v>100.0</v>
      </c>
      <c r="AE18" s="7">
        <v>100.0</v>
      </c>
      <c r="AF18" s="8">
        <v>1.0</v>
      </c>
      <c r="AG18" s="7">
        <v>6.0</v>
      </c>
      <c r="AH18" s="4" t="s">
        <v>24</v>
      </c>
      <c r="AI18" s="7">
        <v>100.0</v>
      </c>
      <c r="AJ18" s="7">
        <v>100.0</v>
      </c>
      <c r="AK18" s="8">
        <v>1.0</v>
      </c>
      <c r="AL18" s="7">
        <v>6.0</v>
      </c>
      <c r="AM18" s="4" t="s">
        <v>24</v>
      </c>
      <c r="AN18" s="7">
        <v>100.0</v>
      </c>
      <c r="AO18" s="7">
        <v>100.0</v>
      </c>
      <c r="AP18" s="8">
        <v>1.0</v>
      </c>
      <c r="AQ18" s="7">
        <v>6.0</v>
      </c>
      <c r="AR18" s="4" t="s">
        <v>24</v>
      </c>
      <c r="AS18" s="7">
        <v>100.0</v>
      </c>
      <c r="AT18" s="7"/>
      <c r="AU18" s="8"/>
      <c r="AV18" s="7"/>
      <c r="AW18" s="4" t="s">
        <v>39</v>
      </c>
      <c r="AX18" s="7">
        <v>100.0</v>
      </c>
      <c r="AY18" s="7"/>
      <c r="AZ18" s="8"/>
      <c r="BA18" s="7"/>
      <c r="BB18" s="4" t="s">
        <v>39</v>
      </c>
      <c r="BC18" s="7">
        <v>100.0</v>
      </c>
      <c r="BD18" s="7"/>
      <c r="BE18" s="8"/>
      <c r="BF18" s="7"/>
      <c r="BG18" s="4" t="s">
        <v>39</v>
      </c>
      <c r="BH18" s="7">
        <v>100.0</v>
      </c>
      <c r="BI18" s="7"/>
      <c r="BJ18" s="8"/>
      <c r="BK18" s="7"/>
      <c r="BL18" s="4" t="s">
        <v>39</v>
      </c>
      <c r="BM18" s="7">
        <v>100.0</v>
      </c>
      <c r="BN18" s="7"/>
      <c r="BO18" s="8"/>
      <c r="BP18" s="7"/>
      <c r="BQ18" s="4" t="s">
        <v>39</v>
      </c>
    </row>
    <row r="19">
      <c r="A19" s="4">
        <v>2026.0</v>
      </c>
      <c r="B19" s="4">
        <v>10.0</v>
      </c>
      <c r="C19" s="4" t="s">
        <v>220</v>
      </c>
      <c r="D19" s="4"/>
      <c r="E19" s="7"/>
      <c r="F19" s="7"/>
      <c r="G19" s="4" t="s">
        <v>159</v>
      </c>
      <c r="H19" s="4" t="s">
        <v>161</v>
      </c>
      <c r="I19" s="4">
        <v>32.0</v>
      </c>
      <c r="J19" s="7"/>
      <c r="K19" s="7"/>
      <c r="L19" s="8"/>
      <c r="M19" s="7"/>
      <c r="N19" s="4" t="s">
        <v>39</v>
      </c>
      <c r="O19" s="7"/>
      <c r="P19" s="7"/>
      <c r="Q19" s="8"/>
      <c r="R19" s="7"/>
      <c r="S19" s="4" t="s">
        <v>39</v>
      </c>
      <c r="T19" s="7"/>
      <c r="U19" s="7"/>
      <c r="V19" s="8"/>
      <c r="W19" s="7"/>
      <c r="X19" s="4" t="s">
        <v>39</v>
      </c>
      <c r="Y19" s="7"/>
      <c r="Z19" s="7"/>
      <c r="AA19" s="8"/>
      <c r="AB19" s="7"/>
      <c r="AC19" s="4" t="s">
        <v>39</v>
      </c>
      <c r="AD19" s="7"/>
      <c r="AE19" s="7"/>
      <c r="AF19" s="8"/>
      <c r="AG19" s="7"/>
      <c r="AH19" s="4" t="s">
        <v>39</v>
      </c>
      <c r="AI19" s="7"/>
      <c r="AJ19" s="7"/>
      <c r="AK19" s="8"/>
      <c r="AL19" s="7"/>
      <c r="AM19" s="4" t="s">
        <v>39</v>
      </c>
      <c r="AN19" s="7"/>
      <c r="AO19" s="7"/>
      <c r="AP19" s="8"/>
      <c r="AQ19" s="7"/>
      <c r="AR19" s="4" t="s">
        <v>39</v>
      </c>
      <c r="AS19" s="7"/>
      <c r="AT19" s="7"/>
      <c r="AU19" s="8"/>
      <c r="AV19" s="7"/>
      <c r="AW19" s="4" t="s">
        <v>39</v>
      </c>
      <c r="AX19" s="7"/>
      <c r="AY19" s="7"/>
      <c r="AZ19" s="8"/>
      <c r="BA19" s="7"/>
      <c r="BB19" s="4" t="s">
        <v>39</v>
      </c>
      <c r="BC19" s="7"/>
      <c r="BD19" s="7"/>
      <c r="BE19" s="8"/>
      <c r="BF19" s="7"/>
      <c r="BG19" s="4" t="s">
        <v>39</v>
      </c>
      <c r="BH19" s="7"/>
      <c r="BI19" s="7"/>
      <c r="BJ19" s="8"/>
      <c r="BK19" s="7"/>
      <c r="BL19" s="4" t="s">
        <v>39</v>
      </c>
      <c r="BM19" s="7"/>
      <c r="BN19" s="7"/>
      <c r="BO19" s="8"/>
      <c r="BP19" s="7"/>
      <c r="BQ19" s="4" t="s">
        <v>39</v>
      </c>
    </row>
    <row r="20">
      <c r="A20" s="4">
        <v>2026.0</v>
      </c>
      <c r="B20" s="4"/>
      <c r="C20" s="4" t="s">
        <v>221</v>
      </c>
      <c r="D20" s="4"/>
      <c r="E20" s="7" t="s">
        <v>222</v>
      </c>
      <c r="F20" s="7"/>
      <c r="G20" s="4" t="s">
        <v>172</v>
      </c>
      <c r="H20" s="4" t="s">
        <v>161</v>
      </c>
      <c r="I20" s="4">
        <v>33.0</v>
      </c>
      <c r="J20" s="7"/>
      <c r="K20" s="7"/>
      <c r="L20" s="8"/>
      <c r="M20" s="7"/>
      <c r="N20" s="4" t="s">
        <v>39</v>
      </c>
      <c r="O20" s="7"/>
      <c r="P20" s="7"/>
      <c r="Q20" s="8"/>
      <c r="R20" s="7"/>
      <c r="S20" s="4" t="s">
        <v>39</v>
      </c>
      <c r="T20" s="7"/>
      <c r="U20" s="7"/>
      <c r="V20" s="8"/>
      <c r="W20" s="7"/>
      <c r="X20" s="4" t="s">
        <v>39</v>
      </c>
      <c r="Y20" s="7"/>
      <c r="Z20" s="7"/>
      <c r="AA20" s="8"/>
      <c r="AB20" s="7"/>
      <c r="AC20" s="4" t="s">
        <v>39</v>
      </c>
      <c r="AD20" s="7"/>
      <c r="AE20" s="7"/>
      <c r="AF20" s="8"/>
      <c r="AG20" s="7"/>
      <c r="AH20" s="4" t="s">
        <v>39</v>
      </c>
      <c r="AI20" s="7"/>
      <c r="AJ20" s="7"/>
      <c r="AK20" s="8"/>
      <c r="AL20" s="7"/>
      <c r="AM20" s="4" t="s">
        <v>39</v>
      </c>
      <c r="AN20" s="7"/>
      <c r="AO20" s="7"/>
      <c r="AP20" s="8"/>
      <c r="AQ20" s="7"/>
      <c r="AR20" s="4" t="s">
        <v>39</v>
      </c>
      <c r="AS20" s="7"/>
      <c r="AT20" s="7"/>
      <c r="AU20" s="8"/>
      <c r="AV20" s="7"/>
      <c r="AW20" s="4" t="s">
        <v>39</v>
      </c>
      <c r="AX20" s="7"/>
      <c r="AY20" s="7"/>
      <c r="AZ20" s="8"/>
      <c r="BA20" s="7"/>
      <c r="BB20" s="4" t="s">
        <v>39</v>
      </c>
      <c r="BC20" s="7"/>
      <c r="BD20" s="7"/>
      <c r="BE20" s="8"/>
      <c r="BF20" s="7"/>
      <c r="BG20" s="4" t="s">
        <v>39</v>
      </c>
      <c r="BH20" s="7"/>
      <c r="BI20" s="7"/>
      <c r="BJ20" s="8"/>
      <c r="BK20" s="7"/>
      <c r="BL20" s="4" t="s">
        <v>39</v>
      </c>
      <c r="BM20" s="7"/>
      <c r="BN20" s="7"/>
      <c r="BO20" s="8"/>
      <c r="BP20" s="7"/>
      <c r="BQ20" s="4" t="s">
        <v>39</v>
      </c>
    </row>
    <row r="21" ht="15.75" customHeight="1">
      <c r="A21" s="4">
        <v>2026.0</v>
      </c>
      <c r="B21" s="4"/>
      <c r="C21" s="4" t="s">
        <v>223</v>
      </c>
      <c r="D21" s="4"/>
      <c r="E21" s="7" t="s">
        <v>224</v>
      </c>
      <c r="F21" s="7"/>
      <c r="G21" s="4" t="s">
        <v>172</v>
      </c>
      <c r="H21" s="4" t="s">
        <v>161</v>
      </c>
      <c r="I21" s="4">
        <v>34.0</v>
      </c>
      <c r="J21" s="7"/>
      <c r="K21" s="7"/>
      <c r="L21" s="8"/>
      <c r="M21" s="7"/>
      <c r="N21" s="4" t="s">
        <v>39</v>
      </c>
      <c r="O21" s="7"/>
      <c r="P21" s="7"/>
      <c r="Q21" s="8"/>
      <c r="R21" s="7"/>
      <c r="S21" s="4" t="s">
        <v>39</v>
      </c>
      <c r="T21" s="7"/>
      <c r="U21" s="7"/>
      <c r="V21" s="8"/>
      <c r="W21" s="7"/>
      <c r="X21" s="4" t="s">
        <v>39</v>
      </c>
      <c r="Y21" s="7"/>
      <c r="Z21" s="7"/>
      <c r="AA21" s="8"/>
      <c r="AB21" s="7"/>
      <c r="AC21" s="4" t="s">
        <v>39</v>
      </c>
      <c r="AD21" s="7"/>
      <c r="AE21" s="7"/>
      <c r="AF21" s="8"/>
      <c r="AG21" s="7"/>
      <c r="AH21" s="4" t="s">
        <v>39</v>
      </c>
      <c r="AI21" s="7"/>
      <c r="AJ21" s="7"/>
      <c r="AK21" s="8"/>
      <c r="AL21" s="7"/>
      <c r="AM21" s="4" t="s">
        <v>39</v>
      </c>
      <c r="AN21" s="7"/>
      <c r="AO21" s="7"/>
      <c r="AP21" s="8"/>
      <c r="AQ21" s="7"/>
      <c r="AR21" s="4" t="s">
        <v>39</v>
      </c>
      <c r="AS21" s="7"/>
      <c r="AT21" s="7"/>
      <c r="AU21" s="8"/>
      <c r="AV21" s="7"/>
      <c r="AW21" s="4" t="s">
        <v>39</v>
      </c>
      <c r="AX21" s="7"/>
      <c r="AY21" s="7"/>
      <c r="AZ21" s="8"/>
      <c r="BA21" s="7"/>
      <c r="BB21" s="4" t="s">
        <v>39</v>
      </c>
      <c r="BC21" s="7"/>
      <c r="BD21" s="7"/>
      <c r="BE21" s="8"/>
      <c r="BF21" s="7"/>
      <c r="BG21" s="4" t="s">
        <v>39</v>
      </c>
      <c r="BH21" s="7"/>
      <c r="BI21" s="7"/>
      <c r="BJ21" s="8"/>
      <c r="BK21" s="7"/>
      <c r="BL21" s="4" t="s">
        <v>39</v>
      </c>
      <c r="BM21" s="7"/>
      <c r="BN21" s="7"/>
      <c r="BO21" s="8"/>
      <c r="BP21" s="7"/>
      <c r="BQ21" s="4" t="s">
        <v>39</v>
      </c>
    </row>
    <row r="22" ht="15.75" customHeight="1">
      <c r="A22" s="4">
        <v>2026.0</v>
      </c>
      <c r="B22" s="4"/>
      <c r="C22" s="4" t="s">
        <v>228</v>
      </c>
      <c r="D22" s="4"/>
      <c r="E22" s="7" t="s">
        <v>229</v>
      </c>
      <c r="F22" s="7"/>
      <c r="G22" s="4" t="s">
        <v>172</v>
      </c>
      <c r="H22" s="4" t="s">
        <v>161</v>
      </c>
      <c r="I22" s="4">
        <v>35.0</v>
      </c>
      <c r="J22" s="7"/>
      <c r="K22" s="7"/>
      <c r="L22" s="8"/>
      <c r="M22" s="7"/>
      <c r="N22" s="4" t="s">
        <v>39</v>
      </c>
      <c r="O22" s="7"/>
      <c r="P22" s="7"/>
      <c r="Q22" s="8"/>
      <c r="R22" s="7"/>
      <c r="S22" s="4" t="s">
        <v>39</v>
      </c>
      <c r="T22" s="7"/>
      <c r="U22" s="7"/>
      <c r="V22" s="8"/>
      <c r="W22" s="7"/>
      <c r="X22" s="4" t="s">
        <v>39</v>
      </c>
      <c r="Y22" s="7"/>
      <c r="Z22" s="7"/>
      <c r="AA22" s="8"/>
      <c r="AB22" s="7"/>
      <c r="AC22" s="4" t="s">
        <v>39</v>
      </c>
      <c r="AD22" s="7"/>
      <c r="AE22" s="7"/>
      <c r="AF22" s="8"/>
      <c r="AG22" s="7"/>
      <c r="AH22" s="4" t="s">
        <v>39</v>
      </c>
      <c r="AI22" s="7"/>
      <c r="AJ22" s="7"/>
      <c r="AK22" s="8"/>
      <c r="AL22" s="7"/>
      <c r="AM22" s="4" t="s">
        <v>39</v>
      </c>
      <c r="AN22" s="7"/>
      <c r="AO22" s="7"/>
      <c r="AP22" s="8"/>
      <c r="AQ22" s="7"/>
      <c r="AR22" s="4" t="s">
        <v>39</v>
      </c>
      <c r="AS22" s="7"/>
      <c r="AT22" s="7"/>
      <c r="AU22" s="8"/>
      <c r="AV22" s="7"/>
      <c r="AW22" s="4" t="s">
        <v>39</v>
      </c>
      <c r="AX22" s="7"/>
      <c r="AY22" s="7"/>
      <c r="AZ22" s="8"/>
      <c r="BA22" s="7"/>
      <c r="BB22" s="4" t="s">
        <v>39</v>
      </c>
      <c r="BC22" s="7"/>
      <c r="BD22" s="7"/>
      <c r="BE22" s="8"/>
      <c r="BF22" s="7"/>
      <c r="BG22" s="4" t="s">
        <v>39</v>
      </c>
      <c r="BH22" s="7"/>
      <c r="BI22" s="7"/>
      <c r="BJ22" s="8"/>
      <c r="BK22" s="7"/>
      <c r="BL22" s="4" t="s">
        <v>39</v>
      </c>
      <c r="BM22" s="7"/>
      <c r="BN22" s="7"/>
      <c r="BO22" s="8"/>
      <c r="BP22" s="7"/>
      <c r="BQ22" s="4" t="s">
        <v>39</v>
      </c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N2:N22 S2:S22 X2:X22 AC2:AC22 AH2:AH22 AM2:AM22 AR2:AR22 AW2:AW22 BB2:BB22 BG2:BG22 BL2:BL22 BQ2:BQ22">
      <formula1>"Tercapai,Hampir Tercapai,Perlu Peningkatan,Belum Diukur"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0"/>
    <col customWidth="1" min="8" max="8" width="15.0"/>
  </cols>
  <sheetData>
    <row r="1">
      <c r="A1" s="1" t="s">
        <v>91</v>
      </c>
      <c r="B1" s="1" t="s">
        <v>158</v>
      </c>
      <c r="C1" s="1" t="s">
        <v>160</v>
      </c>
      <c r="D1" s="1" t="s">
        <v>14</v>
      </c>
      <c r="E1" s="1" t="s">
        <v>3</v>
      </c>
      <c r="F1" s="1" t="s">
        <v>162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>
        <v>1.0</v>
      </c>
      <c r="B2" s="1" t="s">
        <v>163</v>
      </c>
      <c r="C2" s="1" t="s">
        <v>164</v>
      </c>
      <c r="D2" s="1">
        <v>81.0</v>
      </c>
      <c r="E2" s="1" t="s">
        <v>23</v>
      </c>
      <c r="F2" s="1" t="s">
        <v>165</v>
      </c>
      <c r="H2" s="1" t="s">
        <v>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>
        <v>2.0</v>
      </c>
      <c r="B3" s="1" t="s">
        <v>163</v>
      </c>
      <c r="C3" s="1" t="s">
        <v>166</v>
      </c>
      <c r="D3" s="1">
        <v>81.0</v>
      </c>
      <c r="E3" s="1" t="s">
        <v>23</v>
      </c>
      <c r="F3" s="1" t="s">
        <v>165</v>
      </c>
      <c r="H3" s="1" t="s">
        <v>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3.0</v>
      </c>
      <c r="B4" s="1" t="s">
        <v>167</v>
      </c>
      <c r="C4" s="1" t="s">
        <v>168</v>
      </c>
      <c r="D4" s="1">
        <v>10.0</v>
      </c>
      <c r="E4" s="1" t="s">
        <v>23</v>
      </c>
      <c r="F4" s="1" t="s">
        <v>169</v>
      </c>
      <c r="H4" s="1" t="s">
        <v>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0"/>
    <col customWidth="1" min="7" max="7" width="15.0"/>
  </cols>
  <sheetData>
    <row r="1">
      <c r="A1" s="1" t="s">
        <v>180</v>
      </c>
      <c r="B1" s="1" t="s">
        <v>181</v>
      </c>
      <c r="C1" s="1" t="s">
        <v>162</v>
      </c>
      <c r="D1" s="1" t="s">
        <v>182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184</v>
      </c>
      <c r="B2" s="1" t="s">
        <v>185</v>
      </c>
      <c r="C2" s="1">
        <v>100.0</v>
      </c>
      <c r="D2" s="1">
        <v>100.18</v>
      </c>
      <c r="E2" s="1" t="s">
        <v>24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186</v>
      </c>
      <c r="B3" s="1" t="s">
        <v>187</v>
      </c>
      <c r="C3" s="1">
        <v>100.0</v>
      </c>
      <c r="D3" s="1" t="s">
        <v>188</v>
      </c>
      <c r="E3" s="1" t="s">
        <v>189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4" width="15.0"/>
    <col customWidth="1" min="5" max="5" width="18.0"/>
    <col customWidth="1" min="6" max="6" width="14.0"/>
  </cols>
  <sheetData>
    <row r="1">
      <c r="A1" s="2" t="s">
        <v>45</v>
      </c>
      <c r="B1" s="2" t="s">
        <v>90</v>
      </c>
      <c r="C1" s="2" t="s">
        <v>225</v>
      </c>
      <c r="D1" s="2" t="s">
        <v>226</v>
      </c>
      <c r="E1" s="2" t="s">
        <v>227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46</v>
      </c>
      <c r="B2" s="4">
        <v>2026.0</v>
      </c>
      <c r="C2" s="4" t="s">
        <v>230</v>
      </c>
      <c r="D2" s="7" t="str">
        <f>IFERROR(SUMPRODUCT(--ISNUMBER('03_Kinerja'!M2:M22),'03_Kinerja'!M2:M22)*100/SUMPRODUCT(--ISNUMBER('03_Kinerja'!M2:M22),'03_Kinerja'!E2:E22),"")</f>
        <v/>
      </c>
      <c r="E2" s="7"/>
      <c r="F2" s="4" t="s">
        <v>231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46</v>
      </c>
      <c r="B3" s="4">
        <v>2026.0</v>
      </c>
      <c r="C3" s="4" t="s">
        <v>232</v>
      </c>
      <c r="D3" s="7">
        <f>COUNTA('03_Kinerja'!B2:B22)</f>
        <v>10</v>
      </c>
      <c r="E3" s="7">
        <v>10.0</v>
      </c>
      <c r="F3" s="4" t="s">
        <v>233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46</v>
      </c>
      <c r="B4" s="4">
        <v>2026.0</v>
      </c>
      <c r="C4" s="4" t="s">
        <v>234</v>
      </c>
      <c r="D4" s="7">
        <f>COUNTIFS('03_Kinerja'!B2:B22,"&lt;&gt;",'03_Kinerja'!N2:N22,"Tercapai")</f>
        <v>0</v>
      </c>
      <c r="E4" s="7">
        <v>0.0</v>
      </c>
      <c r="F4" s="4" t="s">
        <v>235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46</v>
      </c>
      <c r="B5" s="4">
        <v>2026.0</v>
      </c>
      <c r="C5" s="4" t="s">
        <v>236</v>
      </c>
      <c r="D5" s="7">
        <f>COUNTIFS('03_Kinerja'!B2:B22,"&lt;&gt;",'03_Kinerja'!N2:N22,"Hampir Tercapai")</f>
        <v>0</v>
      </c>
      <c r="E5" s="7">
        <v>0.0</v>
      </c>
      <c r="F5" s="4" t="s">
        <v>237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46</v>
      </c>
      <c r="B6" s="4">
        <v>2026.0</v>
      </c>
      <c r="C6" s="4" t="s">
        <v>238</v>
      </c>
      <c r="D6" s="7">
        <f>COUNTIFS('03_Kinerja'!B2:B22,"&lt;&gt;",'03_Kinerja'!N2:N22,"Perlu Peningkatan")</f>
        <v>0</v>
      </c>
      <c r="E6" s="7">
        <v>0.0</v>
      </c>
      <c r="F6" s="4" t="s">
        <v>239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46</v>
      </c>
      <c r="B7" s="4">
        <v>2026.0</v>
      </c>
      <c r="C7" s="4" t="s">
        <v>240</v>
      </c>
      <c r="D7" s="7">
        <f>COUNTIFS('03_Kinerja'!B2:B22,"&lt;&gt;",'03_Kinerja'!N2:N22,"Belum Diukur")</f>
        <v>10</v>
      </c>
      <c r="E7" s="7">
        <v>10.0</v>
      </c>
      <c r="F7" s="4" t="s">
        <v>241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49</v>
      </c>
      <c r="B8" s="4">
        <v>2026.0</v>
      </c>
      <c r="C8" s="4" t="s">
        <v>230</v>
      </c>
      <c r="D8" s="7" t="str">
        <f>IFERROR(SUMPRODUCT(--ISNUMBER('03_Kinerja'!R2:R22),'03_Kinerja'!R2:R22)*100/SUMPRODUCT(--ISNUMBER('03_Kinerja'!R2:R22),'03_Kinerja'!E2:E22),"")</f>
        <v/>
      </c>
      <c r="E8" s="7"/>
      <c r="F8" s="4" t="s">
        <v>231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49</v>
      </c>
      <c r="B9" s="4">
        <v>2026.0</v>
      </c>
      <c r="C9" s="4" t="s">
        <v>232</v>
      </c>
      <c r="D9" s="7">
        <f>COUNTA('03_Kinerja'!B2:B22)</f>
        <v>10</v>
      </c>
      <c r="E9" s="7">
        <v>10.0</v>
      </c>
      <c r="F9" s="4" t="s">
        <v>233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49</v>
      </c>
      <c r="B10" s="4">
        <v>2026.0</v>
      </c>
      <c r="C10" s="4" t="s">
        <v>234</v>
      </c>
      <c r="D10" s="7">
        <f>COUNTIFS('03_Kinerja'!B2:B22,"&lt;&gt;",'03_Kinerja'!S2:S22,"Tercapai")</f>
        <v>0</v>
      </c>
      <c r="E10" s="7">
        <v>0.0</v>
      </c>
      <c r="F10" s="4" t="s">
        <v>235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49</v>
      </c>
      <c r="B11" s="4">
        <v>2026.0</v>
      </c>
      <c r="C11" s="4" t="s">
        <v>236</v>
      </c>
      <c r="D11" s="7">
        <f>COUNTIFS('03_Kinerja'!B2:B22,"&lt;&gt;",'03_Kinerja'!S2:S22,"Hampir Tercapai")</f>
        <v>0</v>
      </c>
      <c r="E11" s="7">
        <v>0.0</v>
      </c>
      <c r="F11" s="4" t="s">
        <v>237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49</v>
      </c>
      <c r="B12" s="4">
        <v>2026.0</v>
      </c>
      <c r="C12" s="4" t="s">
        <v>238</v>
      </c>
      <c r="D12" s="7">
        <f>COUNTIFS('03_Kinerja'!B2:B22,"&lt;&gt;",'03_Kinerja'!S2:S22,"Perlu Peningkatan")</f>
        <v>0</v>
      </c>
      <c r="E12" s="7">
        <v>0.0</v>
      </c>
      <c r="F12" s="4" t="s">
        <v>239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49</v>
      </c>
      <c r="B13" s="4">
        <v>2026.0</v>
      </c>
      <c r="C13" s="4" t="s">
        <v>240</v>
      </c>
      <c r="D13" s="7">
        <f>COUNTIFS('03_Kinerja'!B2:B22,"&lt;&gt;",'03_Kinerja'!S2:S22,"Belum Diukur")</f>
        <v>10</v>
      </c>
      <c r="E13" s="7">
        <v>10.0</v>
      </c>
      <c r="F13" s="4" t="s">
        <v>241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52</v>
      </c>
      <c r="B14" s="4">
        <v>2026.0</v>
      </c>
      <c r="C14" s="4" t="s">
        <v>230</v>
      </c>
      <c r="D14" s="7" t="str">
        <f>IFERROR(SUMPRODUCT(--ISNUMBER('03_Kinerja'!W2:W22),'03_Kinerja'!W2:W22)*100/SUMPRODUCT(--ISNUMBER('03_Kinerja'!W2:W22),'03_Kinerja'!E2:E22),"")</f>
        <v/>
      </c>
      <c r="E14" s="7"/>
      <c r="F14" s="4" t="s">
        <v>231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52</v>
      </c>
      <c r="B15" s="4">
        <v>2026.0</v>
      </c>
      <c r="C15" s="4" t="s">
        <v>232</v>
      </c>
      <c r="D15" s="7">
        <f>COUNTA('03_Kinerja'!B2:B22)</f>
        <v>10</v>
      </c>
      <c r="E15" s="7">
        <v>10.0</v>
      </c>
      <c r="F15" s="4" t="s">
        <v>233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52</v>
      </c>
      <c r="B16" s="4">
        <v>2026.0</v>
      </c>
      <c r="C16" s="4" t="s">
        <v>234</v>
      </c>
      <c r="D16" s="7">
        <f>COUNTIFS('03_Kinerja'!B2:B22,"&lt;&gt;",'03_Kinerja'!X2:X22,"Tercapai")</f>
        <v>0</v>
      </c>
      <c r="E16" s="7">
        <v>0.0</v>
      </c>
      <c r="F16" s="4" t="s">
        <v>235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52</v>
      </c>
      <c r="B17" s="4">
        <v>2026.0</v>
      </c>
      <c r="C17" s="4" t="s">
        <v>236</v>
      </c>
      <c r="D17" s="7">
        <f>COUNTIFS('03_Kinerja'!B2:B22,"&lt;&gt;",'03_Kinerja'!X2:X22,"Hampir Tercapai")</f>
        <v>0</v>
      </c>
      <c r="E17" s="7">
        <v>0.0</v>
      </c>
      <c r="F17" s="4" t="s">
        <v>237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52</v>
      </c>
      <c r="B18" s="4">
        <v>2026.0</v>
      </c>
      <c r="C18" s="4" t="s">
        <v>238</v>
      </c>
      <c r="D18" s="7">
        <f>COUNTIFS('03_Kinerja'!B2:B22,"&lt;&gt;",'03_Kinerja'!X2:X22,"Perlu Peningkatan")</f>
        <v>0</v>
      </c>
      <c r="E18" s="7">
        <v>0.0</v>
      </c>
      <c r="F18" s="4" t="s">
        <v>239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 t="s">
        <v>52</v>
      </c>
      <c r="B19" s="4">
        <v>2026.0</v>
      </c>
      <c r="C19" s="4" t="s">
        <v>240</v>
      </c>
      <c r="D19" s="7">
        <f>COUNTIFS('03_Kinerja'!B2:B22,"&lt;&gt;",'03_Kinerja'!X2:X22,"Belum Diukur")</f>
        <v>10</v>
      </c>
      <c r="E19" s="7">
        <v>10.0</v>
      </c>
      <c r="F19" s="4" t="s">
        <v>241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57</v>
      </c>
      <c r="B20" s="4">
        <v>2026.0</v>
      </c>
      <c r="C20" s="4" t="s">
        <v>230</v>
      </c>
      <c r="D20" s="7">
        <f>IFERROR(SUMPRODUCT(--ISNUMBER('03_Kinerja'!AB2:AB22),'03_Kinerja'!AB2:AB22)*100/SUMPRODUCT(--ISNUMBER('03_Kinerja'!AB2:AB22),'03_Kinerja'!E2:E22),"")</f>
        <v>125.0593793</v>
      </c>
      <c r="E20" s="7">
        <v>103.6457572182759</v>
      </c>
      <c r="F20" s="4" t="s">
        <v>231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 t="s">
        <v>57</v>
      </c>
      <c r="B21" s="4">
        <v>2026.0</v>
      </c>
      <c r="C21" s="4" t="s">
        <v>232</v>
      </c>
      <c r="D21" s="7">
        <f>COUNTA('03_Kinerja'!B2:B22)</f>
        <v>10</v>
      </c>
      <c r="E21" s="7">
        <v>10.0</v>
      </c>
      <c r="F21" s="4" t="s">
        <v>233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" t="s">
        <v>57</v>
      </c>
      <c r="B22" s="4">
        <v>2026.0</v>
      </c>
      <c r="C22" s="4" t="s">
        <v>234</v>
      </c>
      <c r="D22" s="7">
        <f>COUNTIFS('03_Kinerja'!B2:B22,"&lt;&gt;",'03_Kinerja'!AC2:AC22,"Tercapai")</f>
        <v>9</v>
      </c>
      <c r="E22" s="7">
        <v>9.0</v>
      </c>
      <c r="F22" s="4" t="s">
        <v>235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" t="s">
        <v>57</v>
      </c>
      <c r="B23" s="4">
        <v>2026.0</v>
      </c>
      <c r="C23" s="4" t="s">
        <v>236</v>
      </c>
      <c r="D23" s="7">
        <f>COUNTIFS('03_Kinerja'!B2:B22,"&lt;&gt;",'03_Kinerja'!AC2:AC22,"Hampir Tercapai")</f>
        <v>0</v>
      </c>
      <c r="E23" s="7">
        <v>0.0</v>
      </c>
      <c r="F23" s="4" t="s">
        <v>237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" t="s">
        <v>57</v>
      </c>
      <c r="B24" s="4">
        <v>2026.0</v>
      </c>
      <c r="C24" s="4" t="s">
        <v>238</v>
      </c>
      <c r="D24" s="7">
        <f>COUNTIFS('03_Kinerja'!B2:B22,"&lt;&gt;",'03_Kinerja'!AC2:AC22,"Perlu Peningkatan")</f>
        <v>0</v>
      </c>
      <c r="E24" s="7">
        <v>0.0</v>
      </c>
      <c r="F24" s="4" t="s">
        <v>239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" t="s">
        <v>57</v>
      </c>
      <c r="B25" s="4">
        <v>2026.0</v>
      </c>
      <c r="C25" s="4" t="s">
        <v>240</v>
      </c>
      <c r="D25" s="7">
        <f>COUNTIFS('03_Kinerja'!B2:B22,"&lt;&gt;",'03_Kinerja'!AC2:AC22,"Belum Diukur")</f>
        <v>1</v>
      </c>
      <c r="E25" s="7">
        <v>1.0</v>
      </c>
      <c r="F25" s="4" t="s">
        <v>241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" t="s">
        <v>60</v>
      </c>
      <c r="B26" s="4">
        <v>2026.0</v>
      </c>
      <c r="C26" s="4" t="s">
        <v>230</v>
      </c>
      <c r="D26" s="7">
        <f>IFERROR(SUMPRODUCT(--ISNUMBER('03_Kinerja'!AG2:AG22),'03_Kinerja'!AG2:AG22)*100/SUMPRODUCT(--ISNUMBER('03_Kinerja'!AG2:AG22),'03_Kinerja'!E2:E22),"")</f>
        <v>125.9282079</v>
      </c>
      <c r="E26" s="7">
        <v>104.1334083343735</v>
      </c>
      <c r="F26" s="4" t="s">
        <v>231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 t="s">
        <v>60</v>
      </c>
      <c r="B27" s="4">
        <v>2026.0</v>
      </c>
      <c r="C27" s="4" t="s">
        <v>232</v>
      </c>
      <c r="D27" s="7">
        <f>COUNTA('03_Kinerja'!B2:B22)</f>
        <v>10</v>
      </c>
      <c r="E27" s="7">
        <v>10.0</v>
      </c>
      <c r="F27" s="4" t="s">
        <v>233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" t="s">
        <v>60</v>
      </c>
      <c r="B28" s="4">
        <v>2026.0</v>
      </c>
      <c r="C28" s="4" t="s">
        <v>234</v>
      </c>
      <c r="D28" s="7">
        <f>COUNTIFS('03_Kinerja'!B2:B22,"&lt;&gt;",'03_Kinerja'!AH2:AH22,"Tercapai")</f>
        <v>9</v>
      </c>
      <c r="E28" s="7">
        <v>9.0</v>
      </c>
      <c r="F28" s="4" t="s">
        <v>235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 t="s">
        <v>60</v>
      </c>
      <c r="B29" s="4">
        <v>2026.0</v>
      </c>
      <c r="C29" s="4" t="s">
        <v>236</v>
      </c>
      <c r="D29" s="7">
        <f>COUNTIFS('03_Kinerja'!B2:B22,"&lt;&gt;",'03_Kinerja'!AH2:AH22,"Hampir Tercapai")</f>
        <v>0</v>
      </c>
      <c r="E29" s="7">
        <v>0.0</v>
      </c>
      <c r="F29" s="4" t="s">
        <v>237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 t="s">
        <v>60</v>
      </c>
      <c r="B30" s="4">
        <v>2026.0</v>
      </c>
      <c r="C30" s="4" t="s">
        <v>238</v>
      </c>
      <c r="D30" s="7">
        <f>COUNTIFS('03_Kinerja'!B2:B22,"&lt;&gt;",'03_Kinerja'!AH2:AH22,"Perlu Peningkatan")</f>
        <v>0</v>
      </c>
      <c r="E30" s="7">
        <v>0.0</v>
      </c>
      <c r="F30" s="4" t="s">
        <v>239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" t="s">
        <v>60</v>
      </c>
      <c r="B31" s="4">
        <v>2026.0</v>
      </c>
      <c r="C31" s="4" t="s">
        <v>240</v>
      </c>
      <c r="D31" s="7">
        <f>COUNTIFS('03_Kinerja'!B2:B22,"&lt;&gt;",'03_Kinerja'!AH2:AH22,"Belum Diukur")</f>
        <v>1</v>
      </c>
      <c r="E31" s="7">
        <v>1.0</v>
      </c>
      <c r="F31" s="4" t="s">
        <v>241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" t="s">
        <v>63</v>
      </c>
      <c r="B32" s="4">
        <v>2026.0</v>
      </c>
      <c r="C32" s="4" t="s">
        <v>230</v>
      </c>
      <c r="D32" s="7">
        <f>IFERROR(SUMPRODUCT(--ISNUMBER('03_Kinerja'!AL2:AL22),'03_Kinerja'!AL2:AL22)*100/SUMPRODUCT(--ISNUMBER('03_Kinerja'!AL2:AL22),'03_Kinerja'!E2:E22),"")</f>
        <v>135.9165193</v>
      </c>
      <c r="E32" s="7">
        <v>106.9691509283841</v>
      </c>
      <c r="F32" s="4" t="s">
        <v>231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 t="s">
        <v>63</v>
      </c>
      <c r="B33" s="4">
        <v>2026.0</v>
      </c>
      <c r="C33" s="4" t="s">
        <v>232</v>
      </c>
      <c r="D33" s="7">
        <f>COUNTA('03_Kinerja'!B2:B22)</f>
        <v>10</v>
      </c>
      <c r="E33" s="7">
        <v>10.0</v>
      </c>
      <c r="F33" s="4" t="s">
        <v>233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" t="s">
        <v>63</v>
      </c>
      <c r="B34" s="4">
        <v>2026.0</v>
      </c>
      <c r="C34" s="4" t="s">
        <v>234</v>
      </c>
      <c r="D34" s="7">
        <f>COUNTIFS('03_Kinerja'!B2:B22,"&lt;&gt;",'03_Kinerja'!AM2:AM22,"Tercapai")</f>
        <v>6</v>
      </c>
      <c r="E34" s="7">
        <v>6.0</v>
      </c>
      <c r="F34" s="4" t="s">
        <v>235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 t="s">
        <v>63</v>
      </c>
      <c r="B35" s="4">
        <v>2026.0</v>
      </c>
      <c r="C35" s="4" t="s">
        <v>236</v>
      </c>
      <c r="D35" s="7">
        <f>COUNTIFS('03_Kinerja'!B2:B22,"&lt;&gt;",'03_Kinerja'!AM2:AM22,"Hampir Tercapai")</f>
        <v>1</v>
      </c>
      <c r="E35" s="7">
        <v>1.0</v>
      </c>
      <c r="F35" s="4" t="s">
        <v>237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 t="s">
        <v>63</v>
      </c>
      <c r="B36" s="4">
        <v>2026.0</v>
      </c>
      <c r="C36" s="4" t="s">
        <v>238</v>
      </c>
      <c r="D36" s="7">
        <f>COUNTIFS('03_Kinerja'!B2:B22,"&lt;&gt;",'03_Kinerja'!AM2:AM22,"Perlu Peningkatan")</f>
        <v>0</v>
      </c>
      <c r="E36" s="7">
        <v>0.0</v>
      </c>
      <c r="F36" s="4" t="s">
        <v>239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 t="s">
        <v>63</v>
      </c>
      <c r="B37" s="4">
        <v>2026.0</v>
      </c>
      <c r="C37" s="4" t="s">
        <v>240</v>
      </c>
      <c r="D37" s="7">
        <f>COUNTIFS('03_Kinerja'!B2:B22,"&lt;&gt;",'03_Kinerja'!AM2:AM22,"Belum Diukur")</f>
        <v>3</v>
      </c>
      <c r="E37" s="7">
        <v>3.0</v>
      </c>
      <c r="F37" s="4" t="s">
        <v>241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 t="s">
        <v>66</v>
      </c>
      <c r="B38" s="4">
        <v>2026.0</v>
      </c>
      <c r="C38" s="4" t="s">
        <v>230</v>
      </c>
      <c r="D38" s="7">
        <f>IFERROR(SUMPRODUCT(--ISNUMBER('03_Kinerja'!AQ2:AQ22),'03_Kinerja'!AQ2:AQ22)*100/SUMPRODUCT(--ISNUMBER('03_Kinerja'!AQ2:AQ22),'03_Kinerja'!E2:E22),"")</f>
        <v>125.94124</v>
      </c>
      <c r="E38" s="7">
        <v>103.941239964965</v>
      </c>
      <c r="F38" s="4" t="s">
        <v>231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" t="s">
        <v>66</v>
      </c>
      <c r="B39" s="4">
        <v>2026.0</v>
      </c>
      <c r="C39" s="4" t="s">
        <v>232</v>
      </c>
      <c r="D39" s="7">
        <f>COUNTA('03_Kinerja'!B2:B22)</f>
        <v>10</v>
      </c>
      <c r="E39" s="7">
        <v>10.0</v>
      </c>
      <c r="F39" s="4" t="s">
        <v>233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" t="s">
        <v>66</v>
      </c>
      <c r="B40" s="4">
        <v>2026.0</v>
      </c>
      <c r="C40" s="4" t="s">
        <v>234</v>
      </c>
      <c r="D40" s="7">
        <f>COUNTIFS('03_Kinerja'!B2:B22,"&lt;&gt;",'03_Kinerja'!AR2:AR22,"Tercapai")</f>
        <v>8</v>
      </c>
      <c r="E40" s="7">
        <v>8.0</v>
      </c>
      <c r="F40" s="4" t="s">
        <v>235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 t="s">
        <v>66</v>
      </c>
      <c r="B41" s="4">
        <v>2026.0</v>
      </c>
      <c r="C41" s="4" t="s">
        <v>236</v>
      </c>
      <c r="D41" s="7">
        <f>COUNTIFS('03_Kinerja'!B2:B22,"&lt;&gt;",'03_Kinerja'!AR2:AR22,"Hampir Tercapai")</f>
        <v>1</v>
      </c>
      <c r="E41" s="7">
        <v>1.0</v>
      </c>
      <c r="F41" s="4" t="s">
        <v>237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 t="s">
        <v>66</v>
      </c>
      <c r="B42" s="4">
        <v>2026.0</v>
      </c>
      <c r="C42" s="4" t="s">
        <v>238</v>
      </c>
      <c r="D42" s="7">
        <f>COUNTIFS('03_Kinerja'!B2:B22,"&lt;&gt;",'03_Kinerja'!AR2:AR22,"Perlu Peningkatan")</f>
        <v>0</v>
      </c>
      <c r="E42" s="7">
        <v>0.0</v>
      </c>
      <c r="F42" s="4" t="s">
        <v>239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 t="s">
        <v>66</v>
      </c>
      <c r="B43" s="4">
        <v>2026.0</v>
      </c>
      <c r="C43" s="4" t="s">
        <v>240</v>
      </c>
      <c r="D43" s="7">
        <f>COUNTIFS('03_Kinerja'!B2:B22,"&lt;&gt;",'03_Kinerja'!AR2:AR22,"Belum Diukur")</f>
        <v>1</v>
      </c>
      <c r="E43" s="7">
        <v>1.0</v>
      </c>
      <c r="F43" s="4" t="s">
        <v>241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 t="s">
        <v>70</v>
      </c>
      <c r="B44" s="4">
        <v>2026.0</v>
      </c>
      <c r="C44" s="4" t="s">
        <v>230</v>
      </c>
      <c r="D44" s="7" t="str">
        <f>IFERROR(SUMPRODUCT(--ISNUMBER('03_Kinerja'!AV2:AV22),'03_Kinerja'!AV2:AV22)*100/SUMPRODUCT(--ISNUMBER('03_Kinerja'!AV2:AV22),'03_Kinerja'!E2:E22),"")</f>
        <v/>
      </c>
      <c r="E44" s="7"/>
      <c r="F44" s="4" t="s">
        <v>231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 t="s">
        <v>70</v>
      </c>
      <c r="B45" s="4">
        <v>2026.0</v>
      </c>
      <c r="C45" s="4" t="s">
        <v>232</v>
      </c>
      <c r="D45" s="7">
        <f>COUNTA('03_Kinerja'!B2:B22)</f>
        <v>10</v>
      </c>
      <c r="E45" s="7">
        <v>10.0</v>
      </c>
      <c r="F45" s="4" t="s">
        <v>233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 t="s">
        <v>70</v>
      </c>
      <c r="B46" s="4">
        <v>2026.0</v>
      </c>
      <c r="C46" s="4" t="s">
        <v>234</v>
      </c>
      <c r="D46" s="7">
        <f>COUNTIFS('03_Kinerja'!B2:B22,"&lt;&gt;",'03_Kinerja'!AW2:AW22,"Tercapai")</f>
        <v>0</v>
      </c>
      <c r="E46" s="7">
        <v>0.0</v>
      </c>
      <c r="F46" s="4" t="s">
        <v>235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" t="s">
        <v>70</v>
      </c>
      <c r="B47" s="4">
        <v>2026.0</v>
      </c>
      <c r="C47" s="4" t="s">
        <v>236</v>
      </c>
      <c r="D47" s="7">
        <f>COUNTIFS('03_Kinerja'!B2:B22,"&lt;&gt;",'03_Kinerja'!AW2:AW22,"Hampir Tercapai")</f>
        <v>0</v>
      </c>
      <c r="E47" s="7">
        <v>0.0</v>
      </c>
      <c r="F47" s="4" t="s">
        <v>237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 t="s">
        <v>70</v>
      </c>
      <c r="B48" s="4">
        <v>2026.0</v>
      </c>
      <c r="C48" s="4" t="s">
        <v>238</v>
      </c>
      <c r="D48" s="7">
        <f>COUNTIFS('03_Kinerja'!B2:B22,"&lt;&gt;",'03_Kinerja'!AW2:AW22,"Perlu Peningkatan")</f>
        <v>0</v>
      </c>
      <c r="E48" s="7">
        <v>0.0</v>
      </c>
      <c r="F48" s="4" t="s">
        <v>239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 t="s">
        <v>70</v>
      </c>
      <c r="B49" s="4">
        <v>2026.0</v>
      </c>
      <c r="C49" s="4" t="s">
        <v>240</v>
      </c>
      <c r="D49" s="7">
        <f>COUNTIFS('03_Kinerja'!B2:B22,"&lt;&gt;",'03_Kinerja'!AW2:AW22,"Belum Diukur")</f>
        <v>10</v>
      </c>
      <c r="E49" s="7">
        <v>10.0</v>
      </c>
      <c r="F49" s="4" t="s">
        <v>241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" t="s">
        <v>74</v>
      </c>
      <c r="B50" s="4">
        <v>2026.0</v>
      </c>
      <c r="C50" s="4" t="s">
        <v>230</v>
      </c>
      <c r="D50" s="7" t="str">
        <f>IFERROR(SUMPRODUCT(--ISNUMBER('03_Kinerja'!BA2:BA22),'03_Kinerja'!BA2:BA22)*100/SUMPRODUCT(--ISNUMBER('03_Kinerja'!BA2:BA22),'03_Kinerja'!E2:E22),"")</f>
        <v/>
      </c>
      <c r="E50" s="7"/>
      <c r="F50" s="4" t="s">
        <v>231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" t="s">
        <v>74</v>
      </c>
      <c r="B51" s="4">
        <v>2026.0</v>
      </c>
      <c r="C51" s="4" t="s">
        <v>232</v>
      </c>
      <c r="D51" s="7">
        <f>COUNTA('03_Kinerja'!B2:B22)</f>
        <v>10</v>
      </c>
      <c r="E51" s="7">
        <v>10.0</v>
      </c>
      <c r="F51" s="4" t="s">
        <v>233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" t="s">
        <v>74</v>
      </c>
      <c r="B52" s="4">
        <v>2026.0</v>
      </c>
      <c r="C52" s="4" t="s">
        <v>234</v>
      </c>
      <c r="D52" s="7">
        <f>COUNTIFS('03_Kinerja'!B2:B22,"&lt;&gt;",'03_Kinerja'!BB2:BB22,"Tercapai")</f>
        <v>0</v>
      </c>
      <c r="E52" s="7">
        <v>0.0</v>
      </c>
      <c r="F52" s="4" t="s">
        <v>235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" t="s">
        <v>74</v>
      </c>
      <c r="B53" s="4">
        <v>2026.0</v>
      </c>
      <c r="C53" s="4" t="s">
        <v>236</v>
      </c>
      <c r="D53" s="7">
        <f>COUNTIFS('03_Kinerja'!B2:B22,"&lt;&gt;",'03_Kinerja'!BB2:BB22,"Hampir Tercapai")</f>
        <v>0</v>
      </c>
      <c r="E53" s="7">
        <v>0.0</v>
      </c>
      <c r="F53" s="4" t="s">
        <v>237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" t="s">
        <v>74</v>
      </c>
      <c r="B54" s="4">
        <v>2026.0</v>
      </c>
      <c r="C54" s="4" t="s">
        <v>238</v>
      </c>
      <c r="D54" s="7">
        <f>COUNTIFS('03_Kinerja'!B2:B22,"&lt;&gt;",'03_Kinerja'!BB2:BB22,"Perlu Peningkatan")</f>
        <v>0</v>
      </c>
      <c r="E54" s="7">
        <v>0.0</v>
      </c>
      <c r="F54" s="4" t="s">
        <v>239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" t="s">
        <v>74</v>
      </c>
      <c r="B55" s="4">
        <v>2026.0</v>
      </c>
      <c r="C55" s="4" t="s">
        <v>240</v>
      </c>
      <c r="D55" s="7">
        <f>COUNTIFS('03_Kinerja'!B2:B22,"&lt;&gt;",'03_Kinerja'!BB2:BB22,"Belum Diukur")</f>
        <v>10</v>
      </c>
      <c r="E55" s="7">
        <v>10.0</v>
      </c>
      <c r="F55" s="4" t="s">
        <v>241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" t="s">
        <v>78</v>
      </c>
      <c r="B56" s="4">
        <v>2026.0</v>
      </c>
      <c r="C56" s="4" t="s">
        <v>230</v>
      </c>
      <c r="D56" s="7" t="str">
        <f>IFERROR(SUMPRODUCT(--ISNUMBER('03_Kinerja'!BF2:BF22),'03_Kinerja'!BF2:BF22)*100/SUMPRODUCT(--ISNUMBER('03_Kinerja'!BF2:BF22),'03_Kinerja'!E2:E22),"")</f>
        <v/>
      </c>
      <c r="E56" s="7"/>
      <c r="F56" s="4" t="s">
        <v>231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" t="s">
        <v>78</v>
      </c>
      <c r="B57" s="4">
        <v>2026.0</v>
      </c>
      <c r="C57" s="4" t="s">
        <v>232</v>
      </c>
      <c r="D57" s="7">
        <f>COUNTA('03_Kinerja'!B2:B22)</f>
        <v>10</v>
      </c>
      <c r="E57" s="7">
        <v>10.0</v>
      </c>
      <c r="F57" s="4" t="s">
        <v>233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" t="s">
        <v>78</v>
      </c>
      <c r="B58" s="4">
        <v>2026.0</v>
      </c>
      <c r="C58" s="4" t="s">
        <v>234</v>
      </c>
      <c r="D58" s="7">
        <f>COUNTIFS('03_Kinerja'!B2:B22,"&lt;&gt;",'03_Kinerja'!BG2:BG22,"Tercapai")</f>
        <v>0</v>
      </c>
      <c r="E58" s="7">
        <v>0.0</v>
      </c>
      <c r="F58" s="4" t="s">
        <v>235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" t="s">
        <v>78</v>
      </c>
      <c r="B59" s="4">
        <v>2026.0</v>
      </c>
      <c r="C59" s="4" t="s">
        <v>236</v>
      </c>
      <c r="D59" s="7">
        <f>COUNTIFS('03_Kinerja'!B2:B22,"&lt;&gt;",'03_Kinerja'!BG2:BG22,"Hampir Tercapai")</f>
        <v>0</v>
      </c>
      <c r="E59" s="7">
        <v>0.0</v>
      </c>
      <c r="F59" s="4" t="s">
        <v>237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" t="s">
        <v>78</v>
      </c>
      <c r="B60" s="4">
        <v>2026.0</v>
      </c>
      <c r="C60" s="4" t="s">
        <v>238</v>
      </c>
      <c r="D60" s="7">
        <f>COUNTIFS('03_Kinerja'!B2:B22,"&lt;&gt;",'03_Kinerja'!BG2:BG22,"Perlu Peningkatan")</f>
        <v>0</v>
      </c>
      <c r="E60" s="7">
        <v>0.0</v>
      </c>
      <c r="F60" s="4" t="s">
        <v>239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" t="s">
        <v>78</v>
      </c>
      <c r="B61" s="4">
        <v>2026.0</v>
      </c>
      <c r="C61" s="4" t="s">
        <v>240</v>
      </c>
      <c r="D61" s="7">
        <f>COUNTIFS('03_Kinerja'!B2:B22,"&lt;&gt;",'03_Kinerja'!BG2:BG22,"Belum Diukur")</f>
        <v>10</v>
      </c>
      <c r="E61" s="7">
        <v>10.0</v>
      </c>
      <c r="F61" s="4" t="s">
        <v>241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" t="s">
        <v>81</v>
      </c>
      <c r="B62" s="4">
        <v>2026.0</v>
      </c>
      <c r="C62" s="4" t="s">
        <v>230</v>
      </c>
      <c r="D62" s="7" t="str">
        <f>IFERROR(SUMPRODUCT(--ISNUMBER('03_Kinerja'!BK2:BK22),'03_Kinerja'!BK2:BK22)*100/SUMPRODUCT(--ISNUMBER('03_Kinerja'!BK2:BK22),'03_Kinerja'!E2:E22),"")</f>
        <v/>
      </c>
      <c r="E62" s="7"/>
      <c r="F62" s="4" t="s">
        <v>231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 t="s">
        <v>81</v>
      </c>
      <c r="B63" s="4">
        <v>2026.0</v>
      </c>
      <c r="C63" s="4" t="s">
        <v>232</v>
      </c>
      <c r="D63" s="7">
        <f>COUNTA('03_Kinerja'!B2:B22)</f>
        <v>10</v>
      </c>
      <c r="E63" s="7">
        <v>10.0</v>
      </c>
      <c r="F63" s="4" t="s">
        <v>233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" t="s">
        <v>81</v>
      </c>
      <c r="B64" s="4">
        <v>2026.0</v>
      </c>
      <c r="C64" s="4" t="s">
        <v>234</v>
      </c>
      <c r="D64" s="7">
        <f>COUNTIFS('03_Kinerja'!B2:B22,"&lt;&gt;",'03_Kinerja'!BL2:BL22,"Tercapai")</f>
        <v>0</v>
      </c>
      <c r="E64" s="7">
        <v>0.0</v>
      </c>
      <c r="F64" s="4" t="s">
        <v>235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 t="s">
        <v>81</v>
      </c>
      <c r="B65" s="4">
        <v>2026.0</v>
      </c>
      <c r="C65" s="4" t="s">
        <v>236</v>
      </c>
      <c r="D65" s="7">
        <f>COUNTIFS('03_Kinerja'!B2:B22,"&lt;&gt;",'03_Kinerja'!BL2:BL22,"Hampir Tercapai")</f>
        <v>0</v>
      </c>
      <c r="E65" s="7">
        <v>0.0</v>
      </c>
      <c r="F65" s="4" t="s">
        <v>237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" t="s">
        <v>81</v>
      </c>
      <c r="B66" s="4">
        <v>2026.0</v>
      </c>
      <c r="C66" s="4" t="s">
        <v>238</v>
      </c>
      <c r="D66" s="7">
        <f>COUNTIFS('03_Kinerja'!B2:B22,"&lt;&gt;",'03_Kinerja'!BL2:BL22,"Perlu Peningkatan")</f>
        <v>0</v>
      </c>
      <c r="E66" s="7">
        <v>0.0</v>
      </c>
      <c r="F66" s="4" t="s">
        <v>239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 t="s">
        <v>81</v>
      </c>
      <c r="B67" s="4">
        <v>2026.0</v>
      </c>
      <c r="C67" s="4" t="s">
        <v>240</v>
      </c>
      <c r="D67" s="7">
        <f>COUNTIFS('03_Kinerja'!B2:B22,"&lt;&gt;",'03_Kinerja'!BL2:BL22,"Belum Diukur")</f>
        <v>10</v>
      </c>
      <c r="E67" s="7">
        <v>10.0</v>
      </c>
      <c r="F67" s="4" t="s">
        <v>241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 t="s">
        <v>82</v>
      </c>
      <c r="B68" s="4">
        <v>2026.0</v>
      </c>
      <c r="C68" s="4" t="s">
        <v>230</v>
      </c>
      <c r="D68" s="7" t="str">
        <f>IFERROR(SUMPRODUCT(--ISNUMBER('03_Kinerja'!BP2:BP22),'03_Kinerja'!BP2:BP22)*100/SUMPRODUCT(--ISNUMBER('03_Kinerja'!BP2:BP22),'03_Kinerja'!E2:E22),"")</f>
        <v/>
      </c>
      <c r="E68" s="7"/>
      <c r="F68" s="4" t="s">
        <v>231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 t="s">
        <v>82</v>
      </c>
      <c r="B69" s="4">
        <v>2026.0</v>
      </c>
      <c r="C69" s="4" t="s">
        <v>232</v>
      </c>
      <c r="D69" s="7">
        <f>COUNTA('03_Kinerja'!B2:B22)</f>
        <v>10</v>
      </c>
      <c r="E69" s="7">
        <v>10.0</v>
      </c>
      <c r="F69" s="4" t="s">
        <v>233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 t="s">
        <v>82</v>
      </c>
      <c r="B70" s="4">
        <v>2026.0</v>
      </c>
      <c r="C70" s="4" t="s">
        <v>234</v>
      </c>
      <c r="D70" s="7">
        <f>COUNTIFS('03_Kinerja'!B2:B22,"&lt;&gt;",'03_Kinerja'!BQ2:BQ22,"Tercapai")</f>
        <v>0</v>
      </c>
      <c r="E70" s="7">
        <v>0.0</v>
      </c>
      <c r="F70" s="4" t="s">
        <v>235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 t="s">
        <v>82</v>
      </c>
      <c r="B71" s="4">
        <v>2026.0</v>
      </c>
      <c r="C71" s="4" t="s">
        <v>236</v>
      </c>
      <c r="D71" s="7">
        <f>COUNTIFS('03_Kinerja'!B2:B22,"&lt;&gt;",'03_Kinerja'!BQ2:BQ22,"Hampir Tercapai")</f>
        <v>0</v>
      </c>
      <c r="E71" s="7">
        <v>0.0</v>
      </c>
      <c r="F71" s="4" t="s">
        <v>237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" t="s">
        <v>82</v>
      </c>
      <c r="B72" s="4">
        <v>2026.0</v>
      </c>
      <c r="C72" s="4" t="s">
        <v>238</v>
      </c>
      <c r="D72" s="7">
        <f>COUNTIFS('03_Kinerja'!B2:B22,"&lt;&gt;",'03_Kinerja'!BQ2:BQ22,"Perlu Peningkatan")</f>
        <v>0</v>
      </c>
      <c r="E72" s="7">
        <v>0.0</v>
      </c>
      <c r="F72" s="4" t="s">
        <v>239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 t="s">
        <v>82</v>
      </c>
      <c r="B73" s="4">
        <v>2026.0</v>
      </c>
      <c r="C73" s="4" t="s">
        <v>240</v>
      </c>
      <c r="D73" s="7">
        <f>COUNTIFS('03_Kinerja'!B2:B22,"&lt;&gt;",'03_Kinerja'!BQ2:BQ22,"Belum Diukur")</f>
        <v>10</v>
      </c>
      <c r="E73" s="7">
        <v>10.0</v>
      </c>
      <c r="F73" s="4" t="s">
        <v>241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2026-09-02T03:09:42Z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ce8a0a54-4043-4436-93ba-e1b5f45e597b</vt:lpwstr>
  </property>
  <property fmtid="{D5CDD505-2E9C-101B-9397-08002B2CF9AE}" pid="8" name="MSIP_Label_defa4170-0d19-0005-0004-bc88714345d2_ContentBits">
    <vt:lpwstr>0</vt:lpwstr>
  </property>
</Properties>
</file>